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2E8C0A96-F2D8-4E7A-B9C9-3D157071A91C}" xr6:coauthVersionLast="47" xr6:coauthVersionMax="47" xr10:uidLastSave="{00000000-0000-0000-0000-000000000000}"/>
  <workbookProtection workbookAlgorithmName="SHA-512" workbookHashValue="zD6lPNCzy0Z3GsevWTyClFbN/EFsfwqFUoTlujd/Ysdt1wUMQpQMZGqyaxqH/CWS5gq1y4uO4cKPsdwZ7zP6iQ==" workbookSaltValue="wGDpx4NBmdy6jZXgwdvvuA==" workbookSpinCount="100000" lockStructure="1"/>
  <bookViews>
    <workbookView xWindow="-110" yWindow="-110" windowWidth="19420" windowHeight="11500" tabRatio="500" firstSheet="1" activeTab="2" xr2:uid="{00000000-000D-0000-FFFF-FFFF00000000}"/>
  </bookViews>
  <sheets>
    <sheet name="P&amp;L Gerencial" sheetId="1" r:id="rId1"/>
    <sheet name="Dashboard" sheetId="7" r:id="rId2"/>
    <sheet name="Comparativo vs PSTO" sheetId="2" r:id="rId3"/>
    <sheet name="Indicadores Operativos" sheetId="3" r:id="rId4"/>
    <sheet name="Punto de Equilibrio" sheetId="4" r:id="rId5"/>
    <sheet name="Estrategia de Precios" sheetId="6" r:id="rId6"/>
    <sheet name="Simulador" sheetId="5" r:id="rId7"/>
    <sheet name="Datos 2026" sheetId="8" state="hidden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7" l="1"/>
  <c r="E27" i="7"/>
  <c r="F27" i="7"/>
  <c r="G27" i="7"/>
  <c r="H27" i="7"/>
  <c r="I27" i="7"/>
  <c r="J27" i="7"/>
  <c r="K27" i="7"/>
  <c r="L27" i="7"/>
  <c r="M27" i="7"/>
  <c r="N27" i="7"/>
  <c r="C27" i="7"/>
  <c r="D26" i="7"/>
  <c r="E26" i="7"/>
  <c r="F26" i="7"/>
  <c r="G26" i="7"/>
  <c r="H26" i="7"/>
  <c r="I26" i="7"/>
  <c r="J26" i="7"/>
  <c r="K26" i="7"/>
  <c r="L26" i="7"/>
  <c r="M26" i="7"/>
  <c r="N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24" i="7"/>
  <c r="M24" i="7"/>
  <c r="L24" i="7"/>
  <c r="K24" i="7"/>
  <c r="J24" i="7"/>
  <c r="I24" i="7"/>
  <c r="H24" i="7"/>
  <c r="G24" i="7"/>
  <c r="F24" i="7"/>
  <c r="E24" i="7"/>
  <c r="D24" i="7"/>
  <c r="C24" i="7"/>
  <c r="N23" i="7"/>
  <c r="M23" i="7"/>
  <c r="L23" i="7"/>
  <c r="K23" i="7"/>
  <c r="J23" i="7"/>
  <c r="I23" i="7"/>
  <c r="H23" i="7"/>
  <c r="G23" i="7"/>
  <c r="F23" i="7"/>
  <c r="E23" i="7"/>
  <c r="D23" i="7"/>
  <c r="C23" i="7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D24" i="2" s="1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D31" i="2" s="1"/>
  <c r="O56" i="8"/>
  <c r="O55" i="8"/>
  <c r="O54" i="8"/>
  <c r="D13" i="2" s="1"/>
  <c r="O53" i="8"/>
  <c r="O52" i="8"/>
  <c r="O51" i="8"/>
  <c r="O50" i="8"/>
  <c r="D37" i="2" s="1"/>
  <c r="O49" i="8"/>
  <c r="O48" i="8"/>
  <c r="O47" i="8"/>
  <c r="O46" i="8"/>
  <c r="O45" i="8"/>
  <c r="O44" i="8"/>
  <c r="O43" i="8"/>
  <c r="O42" i="8"/>
  <c r="O41" i="8"/>
  <c r="O40" i="8"/>
  <c r="O39" i="8"/>
  <c r="D11" i="2" s="1"/>
  <c r="H11" i="2" s="1"/>
  <c r="O38" i="8"/>
  <c r="O37" i="8"/>
  <c r="O36" i="8"/>
  <c r="O35" i="8"/>
  <c r="P35" i="8" s="1"/>
  <c r="O34" i="8"/>
  <c r="P34" i="8" s="1"/>
  <c r="O33" i="8"/>
  <c r="D12" i="2" s="1"/>
  <c r="O32" i="8"/>
  <c r="P32" i="8" s="1"/>
  <c r="O31" i="8"/>
  <c r="P31" i="8" s="1"/>
  <c r="O30" i="8"/>
  <c r="O29" i="8"/>
  <c r="O28" i="8"/>
  <c r="P28" i="8" s="1"/>
  <c r="O27" i="8"/>
  <c r="P27" i="8" s="1"/>
  <c r="O26" i="8"/>
  <c r="O25" i="8"/>
  <c r="O24" i="8"/>
  <c r="P24" i="8" s="1"/>
  <c r="O23" i="8"/>
  <c r="P23" i="8" s="1"/>
  <c r="O22" i="8"/>
  <c r="P22" i="8" s="1"/>
  <c r="O21" i="8"/>
  <c r="O20" i="8"/>
  <c r="P19" i="8"/>
  <c r="O19" i="8"/>
  <c r="O18" i="8"/>
  <c r="P18" i="8" s="1"/>
  <c r="O17" i="8"/>
  <c r="P17" i="8" s="1"/>
  <c r="O16" i="8"/>
  <c r="P16" i="8" s="1"/>
  <c r="O15" i="8"/>
  <c r="O14" i="8"/>
  <c r="D19" i="2" s="1"/>
  <c r="H19" i="2" s="1"/>
  <c r="O13" i="8"/>
  <c r="P13" i="8" s="1"/>
  <c r="P12" i="8"/>
  <c r="O12" i="8"/>
  <c r="O11" i="8"/>
  <c r="P11" i="8" s="1"/>
  <c r="O10" i="8"/>
  <c r="P10" i="8" s="1"/>
  <c r="O9" i="8"/>
  <c r="O8" i="8"/>
  <c r="D20" i="2" s="1"/>
  <c r="O7" i="8"/>
  <c r="P7" i="8" s="1"/>
  <c r="O6" i="8"/>
  <c r="O5" i="8"/>
  <c r="O4" i="8"/>
  <c r="P59" i="8" s="1"/>
  <c r="E20" i="7"/>
  <c r="D20" i="7"/>
  <c r="B20" i="7"/>
  <c r="E19" i="7"/>
  <c r="D19" i="7"/>
  <c r="B19" i="7"/>
  <c r="B18" i="7"/>
  <c r="B17" i="7"/>
  <c r="B16" i="7"/>
  <c r="E15" i="7"/>
  <c r="B15" i="7"/>
  <c r="B14" i="7"/>
  <c r="E13" i="7"/>
  <c r="D13" i="7"/>
  <c r="B13" i="7"/>
  <c r="E12" i="7"/>
  <c r="B12" i="7"/>
  <c r="D11" i="7"/>
  <c r="B11" i="7"/>
  <c r="D10" i="7"/>
  <c r="B10" i="7"/>
  <c r="E9" i="7"/>
  <c r="D9" i="7"/>
  <c r="B9" i="7"/>
  <c r="E40" i="6"/>
  <c r="E39" i="6"/>
  <c r="H38" i="6"/>
  <c r="I38" i="6" s="1"/>
  <c r="E38" i="6"/>
  <c r="F38" i="6" s="1"/>
  <c r="E37" i="6"/>
  <c r="F37" i="6" s="1"/>
  <c r="E36" i="6"/>
  <c r="H36" i="6" s="1"/>
  <c r="E35" i="6"/>
  <c r="F35" i="6" s="1"/>
  <c r="E34" i="6"/>
  <c r="H34" i="6" s="1"/>
  <c r="E33" i="6"/>
  <c r="E32" i="6"/>
  <c r="E31" i="6"/>
  <c r="F31" i="6" s="1"/>
  <c r="E30" i="6"/>
  <c r="E29" i="6"/>
  <c r="H29" i="6" s="1"/>
  <c r="I29" i="6" s="1"/>
  <c r="E28" i="6"/>
  <c r="F28" i="6" s="1"/>
  <c r="C54" i="5"/>
  <c r="D54" i="5" s="1"/>
  <c r="E54" i="5" s="1"/>
  <c r="F54" i="5" s="1"/>
  <c r="C53" i="5"/>
  <c r="D53" i="5" s="1"/>
  <c r="E53" i="5" s="1"/>
  <c r="F53" i="5" s="1"/>
  <c r="C52" i="5"/>
  <c r="D52" i="5" s="1"/>
  <c r="E52" i="5" s="1"/>
  <c r="F52" i="5" s="1"/>
  <c r="C51" i="5"/>
  <c r="D51" i="5" s="1"/>
  <c r="E51" i="5" s="1"/>
  <c r="F51" i="5" s="1"/>
  <c r="C50" i="5"/>
  <c r="D50" i="5" s="1"/>
  <c r="E50" i="5" s="1"/>
  <c r="F50" i="5" s="1"/>
  <c r="B36" i="5"/>
  <c r="C36" i="5" s="1"/>
  <c r="C22" i="5"/>
  <c r="D22" i="5" s="1"/>
  <c r="D21" i="5"/>
  <c r="D19" i="5"/>
  <c r="E19" i="5" s="1"/>
  <c r="D12" i="5"/>
  <c r="C12" i="5"/>
  <c r="D11" i="5"/>
  <c r="C21" i="5" s="1"/>
  <c r="C11" i="5"/>
  <c r="D10" i="5"/>
  <c r="C10" i="5"/>
  <c r="D9" i="5"/>
  <c r="C19" i="5" s="1"/>
  <c r="C9" i="5"/>
  <c r="D8" i="5"/>
  <c r="B44" i="4" s="1"/>
  <c r="C8" i="5"/>
  <c r="D7" i="5"/>
  <c r="B43" i="4" s="1"/>
  <c r="C7" i="5"/>
  <c r="D6" i="5"/>
  <c r="C16" i="5" s="1"/>
  <c r="D16" i="5" s="1"/>
  <c r="C6" i="5"/>
  <c r="C56" i="3"/>
  <c r="L54" i="3"/>
  <c r="K54" i="3"/>
  <c r="I54" i="3"/>
  <c r="H54" i="3"/>
  <c r="M53" i="3"/>
  <c r="L53" i="3"/>
  <c r="K53" i="3"/>
  <c r="H53" i="3"/>
  <c r="F53" i="3"/>
  <c r="E53" i="3"/>
  <c r="G52" i="3"/>
  <c r="L48" i="3"/>
  <c r="K48" i="3"/>
  <c r="J48" i="3"/>
  <c r="H48" i="3"/>
  <c r="C48" i="3"/>
  <c r="B48" i="3"/>
  <c r="L47" i="3"/>
  <c r="I47" i="3"/>
  <c r="H47" i="3"/>
  <c r="G47" i="3"/>
  <c r="E47" i="3"/>
  <c r="B47" i="3"/>
  <c r="L46" i="3"/>
  <c r="J46" i="3"/>
  <c r="I46" i="3"/>
  <c r="G46" i="3"/>
  <c r="E46" i="3"/>
  <c r="C46" i="3"/>
  <c r="B46" i="3"/>
  <c r="M45" i="3"/>
  <c r="M46" i="3" s="1"/>
  <c r="L45" i="3"/>
  <c r="K45" i="3"/>
  <c r="J45" i="3"/>
  <c r="J47" i="3" s="1"/>
  <c r="I45" i="3"/>
  <c r="I48" i="3" s="1"/>
  <c r="H45" i="3"/>
  <c r="H46" i="3" s="1"/>
  <c r="G45" i="3"/>
  <c r="G48" i="3" s="1"/>
  <c r="F45" i="3"/>
  <c r="E45" i="3"/>
  <c r="D45" i="3"/>
  <c r="C45" i="3"/>
  <c r="C47" i="3" s="1"/>
  <c r="B45" i="3"/>
  <c r="O44" i="3"/>
  <c r="F40" i="3"/>
  <c r="L39" i="3"/>
  <c r="K39" i="3"/>
  <c r="J39" i="3"/>
  <c r="I39" i="3"/>
  <c r="H39" i="3"/>
  <c r="D39" i="3"/>
  <c r="C39" i="3"/>
  <c r="B39" i="3"/>
  <c r="K37" i="3"/>
  <c r="K56" i="3" s="1"/>
  <c r="H37" i="3"/>
  <c r="H56" i="3" s="1"/>
  <c r="C36" i="3"/>
  <c r="C55" i="3" s="1"/>
  <c r="F34" i="3"/>
  <c r="F38" i="3" s="1"/>
  <c r="F57" i="3" s="1"/>
  <c r="K33" i="3"/>
  <c r="J33" i="3"/>
  <c r="J37" i="3" s="1"/>
  <c r="J56" i="3" s="1"/>
  <c r="H33" i="3"/>
  <c r="E33" i="3"/>
  <c r="E37" i="3" s="1"/>
  <c r="E56" i="3" s="1"/>
  <c r="C33" i="3"/>
  <c r="C37" i="3" s="1"/>
  <c r="B33" i="3"/>
  <c r="M32" i="3"/>
  <c r="M36" i="3" s="1"/>
  <c r="M55" i="3" s="1"/>
  <c r="F32" i="3"/>
  <c r="F36" i="3" s="1"/>
  <c r="F55" i="3" s="1"/>
  <c r="E32" i="3"/>
  <c r="E36" i="3" s="1"/>
  <c r="E55" i="3" s="1"/>
  <c r="C32" i="3"/>
  <c r="M29" i="3"/>
  <c r="L29" i="3"/>
  <c r="K29" i="3"/>
  <c r="J29" i="3"/>
  <c r="J53" i="3" s="1"/>
  <c r="I29" i="3"/>
  <c r="I53" i="3" s="1"/>
  <c r="H29" i="3"/>
  <c r="G29" i="3"/>
  <c r="G53" i="3" s="1"/>
  <c r="F29" i="3"/>
  <c r="E29" i="3"/>
  <c r="D29" i="3"/>
  <c r="D53" i="3" s="1"/>
  <c r="C29" i="3"/>
  <c r="C53" i="3" s="1"/>
  <c r="B29" i="3"/>
  <c r="O29" i="3" s="1"/>
  <c r="J28" i="3"/>
  <c r="G28" i="3"/>
  <c r="F28" i="3"/>
  <c r="J27" i="3"/>
  <c r="J52" i="3" s="1"/>
  <c r="M26" i="3"/>
  <c r="M28" i="3" s="1"/>
  <c r="L26" i="3"/>
  <c r="L28" i="3" s="1"/>
  <c r="J26" i="3"/>
  <c r="I26" i="3"/>
  <c r="I27" i="3" s="1"/>
  <c r="H26" i="3"/>
  <c r="G26" i="3"/>
  <c r="G27" i="3" s="1"/>
  <c r="F26" i="3"/>
  <c r="F27" i="3" s="1"/>
  <c r="E26" i="3"/>
  <c r="M25" i="3"/>
  <c r="L25" i="3"/>
  <c r="K25" i="3"/>
  <c r="J25" i="3"/>
  <c r="I25" i="3"/>
  <c r="H25" i="3"/>
  <c r="G25" i="3"/>
  <c r="F25" i="3"/>
  <c r="E25" i="3"/>
  <c r="D25" i="3"/>
  <c r="C25" i="3"/>
  <c r="B25" i="3"/>
  <c r="O24" i="3"/>
  <c r="M24" i="3"/>
  <c r="L24" i="3"/>
  <c r="K24" i="3"/>
  <c r="K26" i="3" s="1"/>
  <c r="K28" i="3" s="1"/>
  <c r="J24" i="3"/>
  <c r="I24" i="3"/>
  <c r="H24" i="3"/>
  <c r="G24" i="3"/>
  <c r="F24" i="3"/>
  <c r="E24" i="3"/>
  <c r="D24" i="3"/>
  <c r="D26" i="3" s="1"/>
  <c r="C24" i="3"/>
  <c r="C26" i="3" s="1"/>
  <c r="B24" i="3"/>
  <c r="B26" i="3" s="1"/>
  <c r="O23" i="3"/>
  <c r="O22" i="3"/>
  <c r="B57" i="4" s="1"/>
  <c r="M18" i="3"/>
  <c r="M39" i="3" s="1"/>
  <c r="L18" i="3"/>
  <c r="K18" i="3"/>
  <c r="J18" i="3"/>
  <c r="I18" i="3"/>
  <c r="H18" i="3"/>
  <c r="G18" i="3"/>
  <c r="G39" i="3" s="1"/>
  <c r="G54" i="3" s="1"/>
  <c r="F18" i="3"/>
  <c r="F39" i="3" s="1"/>
  <c r="F54" i="3" s="1"/>
  <c r="E18" i="3"/>
  <c r="D18" i="3"/>
  <c r="O18" i="3" s="1"/>
  <c r="C18" i="3"/>
  <c r="B18" i="3"/>
  <c r="M17" i="3"/>
  <c r="L17" i="3"/>
  <c r="K17" i="3"/>
  <c r="J17" i="3"/>
  <c r="I17" i="3"/>
  <c r="H17" i="3"/>
  <c r="G17" i="3"/>
  <c r="F17" i="3"/>
  <c r="E17" i="3"/>
  <c r="D17" i="3"/>
  <c r="C17" i="3"/>
  <c r="B17" i="3"/>
  <c r="O15" i="3"/>
  <c r="O14" i="3"/>
  <c r="M62" i="2"/>
  <c r="L62" i="2"/>
  <c r="K62" i="2"/>
  <c r="J62" i="2"/>
  <c r="I62" i="2"/>
  <c r="H62" i="2"/>
  <c r="G62" i="2"/>
  <c r="F62" i="2"/>
  <c r="E62" i="2"/>
  <c r="D62" i="2"/>
  <c r="C62" i="2"/>
  <c r="B62" i="2"/>
  <c r="J61" i="2"/>
  <c r="I61" i="2"/>
  <c r="H61" i="2"/>
  <c r="G61" i="2"/>
  <c r="E61" i="2"/>
  <c r="C61" i="2"/>
  <c r="B61" i="2"/>
  <c r="M60" i="2"/>
  <c r="L60" i="2"/>
  <c r="K60" i="2"/>
  <c r="J60" i="2"/>
  <c r="I60" i="2"/>
  <c r="H60" i="2"/>
  <c r="G60" i="2"/>
  <c r="F60" i="2"/>
  <c r="E60" i="2"/>
  <c r="D60" i="2"/>
  <c r="C60" i="2"/>
  <c r="B60" i="2"/>
  <c r="M59" i="2"/>
  <c r="L59" i="2"/>
  <c r="J59" i="2"/>
  <c r="C59" i="2"/>
  <c r="M56" i="2"/>
  <c r="L56" i="2"/>
  <c r="K56" i="2"/>
  <c r="J56" i="2"/>
  <c r="I56" i="2"/>
  <c r="H56" i="2"/>
  <c r="G56" i="2"/>
  <c r="F56" i="2"/>
  <c r="E56" i="2"/>
  <c r="D56" i="2"/>
  <c r="C56" i="2"/>
  <c r="B56" i="2"/>
  <c r="C38" i="2"/>
  <c r="B38" i="2"/>
  <c r="G38" i="2" s="1"/>
  <c r="D36" i="2"/>
  <c r="H36" i="2" s="1"/>
  <c r="H31" i="2"/>
  <c r="C31" i="2"/>
  <c r="B31" i="2"/>
  <c r="E31" i="2" s="1"/>
  <c r="D26" i="2"/>
  <c r="B26" i="2"/>
  <c r="G26" i="2" s="1"/>
  <c r="H24" i="2"/>
  <c r="C24" i="2"/>
  <c r="B24" i="2"/>
  <c r="B19" i="2"/>
  <c r="G19" i="2" s="1"/>
  <c r="D18" i="2"/>
  <c r="H18" i="2" s="1"/>
  <c r="C12" i="2"/>
  <c r="B12" i="2"/>
  <c r="G12" i="2" s="1"/>
  <c r="D10" i="2"/>
  <c r="C10" i="2"/>
  <c r="D6" i="2"/>
  <c r="H6" i="2" s="1"/>
  <c r="H121" i="1"/>
  <c r="G121" i="1"/>
  <c r="F121" i="1"/>
  <c r="E121" i="1"/>
  <c r="C121" i="1"/>
  <c r="N120" i="1"/>
  <c r="M120" i="1"/>
  <c r="M121" i="1" s="1"/>
  <c r="L120" i="1"/>
  <c r="L121" i="1" s="1"/>
  <c r="K120" i="1"/>
  <c r="K121" i="1" s="1"/>
  <c r="J120" i="1"/>
  <c r="J121" i="1" s="1"/>
  <c r="I120" i="1"/>
  <c r="I121" i="1" s="1"/>
  <c r="H120" i="1"/>
  <c r="G120" i="1"/>
  <c r="F120" i="1"/>
  <c r="E120" i="1"/>
  <c r="D120" i="1"/>
  <c r="D121" i="1" s="1"/>
  <c r="C120" i="1"/>
  <c r="O119" i="1"/>
  <c r="C49" i="2" s="1"/>
  <c r="P118" i="1"/>
  <c r="O118" i="1"/>
  <c r="N117" i="1"/>
  <c r="N121" i="1" s="1"/>
  <c r="M117" i="1"/>
  <c r="L117" i="1"/>
  <c r="K117" i="1"/>
  <c r="J117" i="1"/>
  <c r="I117" i="1"/>
  <c r="H117" i="1"/>
  <c r="G117" i="1"/>
  <c r="F117" i="1"/>
  <c r="E117" i="1"/>
  <c r="D117" i="1"/>
  <c r="C117" i="1"/>
  <c r="O116" i="1"/>
  <c r="O115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O110" i="1"/>
  <c r="O109" i="1"/>
  <c r="P109" i="1" s="1"/>
  <c r="O108" i="1"/>
  <c r="P107" i="1"/>
  <c r="O107" i="1"/>
  <c r="O106" i="1"/>
  <c r="P106" i="1" s="1"/>
  <c r="N99" i="1"/>
  <c r="M99" i="1"/>
  <c r="L99" i="1"/>
  <c r="K99" i="1"/>
  <c r="J99" i="1"/>
  <c r="I99" i="1"/>
  <c r="H99" i="1"/>
  <c r="G99" i="1"/>
  <c r="F99" i="1"/>
  <c r="E99" i="1"/>
  <c r="D99" i="1"/>
  <c r="C99" i="1"/>
  <c r="O99" i="1" s="1"/>
  <c r="B39" i="2" s="1"/>
  <c r="G39" i="2" s="1"/>
  <c r="O98" i="1"/>
  <c r="O97" i="1"/>
  <c r="O96" i="1"/>
  <c r="O95" i="1"/>
  <c r="O94" i="1"/>
  <c r="P94" i="1" s="1"/>
  <c r="O93" i="1"/>
  <c r="P92" i="1"/>
  <c r="O92" i="1"/>
  <c r="O91" i="1"/>
  <c r="P90" i="1"/>
  <c r="O90" i="1"/>
  <c r="O89" i="1"/>
  <c r="P89" i="1" s="1"/>
  <c r="O88" i="1"/>
  <c r="O87" i="1"/>
  <c r="P87" i="1" s="1"/>
  <c r="O86" i="1"/>
  <c r="P86" i="1" s="1"/>
  <c r="O85" i="1"/>
  <c r="O84" i="1"/>
  <c r="N81" i="1"/>
  <c r="M81" i="1"/>
  <c r="L81" i="1"/>
  <c r="K81" i="1"/>
  <c r="J81" i="1"/>
  <c r="I81" i="1"/>
  <c r="H81" i="1"/>
  <c r="G81" i="1"/>
  <c r="F81" i="1"/>
  <c r="E81" i="1"/>
  <c r="O81" i="1" s="1"/>
  <c r="D81" i="1"/>
  <c r="C81" i="1"/>
  <c r="O80" i="1"/>
  <c r="O79" i="1"/>
  <c r="O78" i="1"/>
  <c r="P77" i="1"/>
  <c r="O77" i="1"/>
  <c r="O76" i="1"/>
  <c r="P76" i="1" s="1"/>
  <c r="O75" i="1"/>
  <c r="O74" i="1"/>
  <c r="O73" i="1"/>
  <c r="P73" i="1" s="1"/>
  <c r="P72" i="1"/>
  <c r="O72" i="1"/>
  <c r="O71" i="1"/>
  <c r="O70" i="1"/>
  <c r="O69" i="1"/>
  <c r="P69" i="1" s="1"/>
  <c r="O68" i="1"/>
  <c r="O67" i="1"/>
  <c r="P67" i="1" s="1"/>
  <c r="O66" i="1"/>
  <c r="O65" i="1"/>
  <c r="P65" i="1" s="1"/>
  <c r="O64" i="1"/>
  <c r="P64" i="1" s="1"/>
  <c r="O63" i="1"/>
  <c r="O62" i="1"/>
  <c r="O61" i="1"/>
  <c r="N57" i="1"/>
  <c r="M57" i="1"/>
  <c r="L57" i="1"/>
  <c r="K57" i="1"/>
  <c r="O57" i="1" s="1"/>
  <c r="J57" i="1"/>
  <c r="I57" i="1"/>
  <c r="H57" i="1"/>
  <c r="G57" i="1"/>
  <c r="F57" i="1"/>
  <c r="E57" i="1"/>
  <c r="D57" i="1"/>
  <c r="C57" i="1"/>
  <c r="O56" i="1"/>
  <c r="O55" i="1"/>
  <c r="O54" i="1"/>
  <c r="P54" i="1" s="1"/>
  <c r="P53" i="1"/>
  <c r="O53" i="1"/>
  <c r="C25" i="2" s="1"/>
  <c r="O52" i="1"/>
  <c r="P52" i="1" s="1"/>
  <c r="O51" i="1"/>
  <c r="L48" i="1"/>
  <c r="N46" i="1"/>
  <c r="M61" i="2" s="1"/>
  <c r="M46" i="1"/>
  <c r="L61" i="2" s="1"/>
  <c r="L46" i="1"/>
  <c r="K46" i="1"/>
  <c r="E17" i="7" s="1"/>
  <c r="J46" i="1"/>
  <c r="I33" i="3" s="1"/>
  <c r="I37" i="3" s="1"/>
  <c r="I56" i="3" s="1"/>
  <c r="I46" i="1"/>
  <c r="H46" i="1"/>
  <c r="E14" i="7" s="1"/>
  <c r="G46" i="1"/>
  <c r="F33" i="3" s="1"/>
  <c r="F37" i="3" s="1"/>
  <c r="F56" i="3" s="1"/>
  <c r="F46" i="1"/>
  <c r="E46" i="1"/>
  <c r="D46" i="1"/>
  <c r="C46" i="1"/>
  <c r="O45" i="1"/>
  <c r="O44" i="1"/>
  <c r="P44" i="1" s="1"/>
  <c r="P43" i="1"/>
  <c r="O43" i="1"/>
  <c r="C19" i="2" s="1"/>
  <c r="P42" i="1"/>
  <c r="O42" i="1"/>
  <c r="O41" i="1"/>
  <c r="O40" i="1"/>
  <c r="P40" i="1" s="1"/>
  <c r="O39" i="1"/>
  <c r="O38" i="1"/>
  <c r="P38" i="1" s="1"/>
  <c r="P37" i="1"/>
  <c r="O37" i="1"/>
  <c r="O36" i="1"/>
  <c r="O35" i="1"/>
  <c r="P35" i="1" s="1"/>
  <c r="O34" i="1"/>
  <c r="C20" i="2" s="1"/>
  <c r="O33" i="1"/>
  <c r="O32" i="1"/>
  <c r="O31" i="1"/>
  <c r="O30" i="1"/>
  <c r="O29" i="1"/>
  <c r="M26" i="1"/>
  <c r="L26" i="1"/>
  <c r="K26" i="1"/>
  <c r="N25" i="1"/>
  <c r="M25" i="1"/>
  <c r="L25" i="1"/>
  <c r="L47" i="1" s="1"/>
  <c r="G25" i="1"/>
  <c r="G26" i="1" s="1"/>
  <c r="E25" i="1"/>
  <c r="E26" i="1" s="1"/>
  <c r="D25" i="1"/>
  <c r="N24" i="1"/>
  <c r="M24" i="1"/>
  <c r="L24" i="1"/>
  <c r="K24" i="1"/>
  <c r="D17" i="7" s="1"/>
  <c r="J24" i="1"/>
  <c r="I59" i="2" s="1"/>
  <c r="I24" i="1"/>
  <c r="H32" i="3" s="1"/>
  <c r="H36" i="3" s="1"/>
  <c r="H55" i="3" s="1"/>
  <c r="H24" i="1"/>
  <c r="D14" i="7" s="1"/>
  <c r="G24" i="1"/>
  <c r="F59" i="2" s="1"/>
  <c r="F24" i="1"/>
  <c r="D12" i="7" s="1"/>
  <c r="E24" i="1"/>
  <c r="D24" i="1"/>
  <c r="C24" i="1"/>
  <c r="O23" i="1"/>
  <c r="O22" i="1"/>
  <c r="O21" i="1"/>
  <c r="O20" i="1"/>
  <c r="O19" i="1"/>
  <c r="P19" i="1" s="1"/>
  <c r="P18" i="1"/>
  <c r="O18" i="1"/>
  <c r="O17" i="1"/>
  <c r="P17" i="1" s="1"/>
  <c r="O16" i="1"/>
  <c r="O15" i="1"/>
  <c r="P15" i="1" s="1"/>
  <c r="O14" i="1"/>
  <c r="O13" i="1"/>
  <c r="C11" i="2" s="1"/>
  <c r="O12" i="1"/>
  <c r="O11" i="1"/>
  <c r="P11" i="1" s="1"/>
  <c r="N8" i="1"/>
  <c r="M8" i="1"/>
  <c r="L8" i="1"/>
  <c r="K8" i="1"/>
  <c r="K25" i="1" s="1"/>
  <c r="K47" i="1" s="1"/>
  <c r="K58" i="1" s="1"/>
  <c r="K101" i="1" s="1"/>
  <c r="J8" i="1"/>
  <c r="I8" i="1"/>
  <c r="I25" i="1" s="1"/>
  <c r="H8" i="1"/>
  <c r="H25" i="1" s="1"/>
  <c r="G8" i="1"/>
  <c r="F8" i="1"/>
  <c r="E8" i="1"/>
  <c r="D8" i="1"/>
  <c r="C8" i="1"/>
  <c r="O6" i="1"/>
  <c r="B47" i="4"/>
  <c r="B45" i="4"/>
  <c r="B26" i="4"/>
  <c r="B5" i="4"/>
  <c r="B42" i="4" l="1"/>
  <c r="P48" i="8"/>
  <c r="P70" i="8"/>
  <c r="P83" i="8"/>
  <c r="P14" i="8"/>
  <c r="P25" i="8"/>
  <c r="P36" i="8"/>
  <c r="P60" i="8"/>
  <c r="P71" i="8"/>
  <c r="P4" i="8"/>
  <c r="P15" i="8"/>
  <c r="P26" i="8"/>
  <c r="P37" i="8"/>
  <c r="P49" i="8"/>
  <c r="P61" i="8"/>
  <c r="P72" i="8"/>
  <c r="P84" i="8"/>
  <c r="P85" i="8"/>
  <c r="P6" i="8"/>
  <c r="P51" i="8"/>
  <c r="P62" i="8"/>
  <c r="P74" i="8"/>
  <c r="P40" i="8"/>
  <c r="P52" i="8"/>
  <c r="P63" i="8"/>
  <c r="P75" i="8"/>
  <c r="P41" i="8"/>
  <c r="P53" i="8"/>
  <c r="P64" i="8"/>
  <c r="P9" i="8"/>
  <c r="P30" i="8"/>
  <c r="P65" i="8"/>
  <c r="P76" i="8"/>
  <c r="P42" i="8"/>
  <c r="P77" i="8"/>
  <c r="P43" i="8"/>
  <c r="P56" i="8"/>
  <c r="P66" i="8"/>
  <c r="P78" i="8"/>
  <c r="P20" i="8"/>
  <c r="P67" i="8"/>
  <c r="P21" i="8"/>
  <c r="P44" i="8"/>
  <c r="P79" i="8"/>
  <c r="P45" i="8"/>
  <c r="P58" i="8"/>
  <c r="P68" i="8"/>
  <c r="P80" i="8"/>
  <c r="P46" i="8"/>
  <c r="P69" i="8"/>
  <c r="P47" i="8"/>
  <c r="P82" i="8"/>
  <c r="F36" i="6"/>
  <c r="I36" i="6"/>
  <c r="I34" i="6"/>
  <c r="F34" i="6"/>
  <c r="H31" i="6"/>
  <c r="I31" i="6" s="1"/>
  <c r="F29" i="6"/>
  <c r="H20" i="2"/>
  <c r="P81" i="1"/>
  <c r="C33" i="2"/>
  <c r="G33" i="2" s="1"/>
  <c r="B33" i="2"/>
  <c r="B9" i="4"/>
  <c r="B27" i="2"/>
  <c r="B8" i="4"/>
  <c r="B14" i="4" s="1"/>
  <c r="B15" i="4" s="1"/>
  <c r="C27" i="2"/>
  <c r="G27" i="2" s="1"/>
  <c r="P57" i="1"/>
  <c r="F12" i="2"/>
  <c r="E12" i="2"/>
  <c r="H12" i="2"/>
  <c r="O121" i="1"/>
  <c r="H26" i="1"/>
  <c r="H47" i="1"/>
  <c r="I47" i="1"/>
  <c r="I26" i="1"/>
  <c r="P16" i="1"/>
  <c r="C13" i="2"/>
  <c r="C54" i="3"/>
  <c r="G32" i="3"/>
  <c r="G36" i="3" s="1"/>
  <c r="G55" i="3" s="1"/>
  <c r="P54" i="8"/>
  <c r="H10" i="2"/>
  <c r="E21" i="5"/>
  <c r="P74" i="1"/>
  <c r="B32" i="2"/>
  <c r="G32" i="2" s="1"/>
  <c r="H28" i="3"/>
  <c r="H27" i="3"/>
  <c r="B37" i="3"/>
  <c r="D47" i="3"/>
  <c r="D48" i="3"/>
  <c r="D46" i="3"/>
  <c r="O46" i="3" s="1"/>
  <c r="M48" i="3"/>
  <c r="E22" i="5"/>
  <c r="C30" i="2"/>
  <c r="B30" i="2"/>
  <c r="G30" i="2" s="1"/>
  <c r="G24" i="2"/>
  <c r="E24" i="2"/>
  <c r="K112" i="1"/>
  <c r="K123" i="1" s="1"/>
  <c r="J59" i="3"/>
  <c r="F17" i="7"/>
  <c r="J57" i="2"/>
  <c r="J58" i="2"/>
  <c r="D38" i="2"/>
  <c r="P55" i="8"/>
  <c r="D32" i="2"/>
  <c r="C18" i="2"/>
  <c r="B18" i="2"/>
  <c r="K48" i="1"/>
  <c r="F24" i="2"/>
  <c r="G59" i="2"/>
  <c r="J54" i="3"/>
  <c r="L34" i="3"/>
  <c r="L38" i="3" s="1"/>
  <c r="P29" i="1"/>
  <c r="P91" i="1"/>
  <c r="K102" i="1"/>
  <c r="D21" i="2"/>
  <c r="M54" i="3"/>
  <c r="P20" i="1"/>
  <c r="M34" i="3"/>
  <c r="M38" i="3" s="1"/>
  <c r="M40" i="3" s="1"/>
  <c r="B20" i="2"/>
  <c r="G20" i="2" s="1"/>
  <c r="P30" i="1"/>
  <c r="E18" i="7"/>
  <c r="K61" i="2"/>
  <c r="C37" i="2"/>
  <c r="B37" i="2"/>
  <c r="G37" i="2" s="1"/>
  <c r="B25" i="2"/>
  <c r="G25" i="2" s="1"/>
  <c r="C32" i="2"/>
  <c r="O25" i="3"/>
  <c r="I52" i="3"/>
  <c r="F52" i="3"/>
  <c r="B46" i="4"/>
  <c r="C20" i="5"/>
  <c r="D20" i="5" s="1"/>
  <c r="B10" i="4"/>
  <c r="P99" i="1"/>
  <c r="J25" i="1"/>
  <c r="P61" i="1"/>
  <c r="E27" i="3"/>
  <c r="E28" i="3"/>
  <c r="P33" i="8"/>
  <c r="O8" i="1"/>
  <c r="P8" i="1" s="1"/>
  <c r="F58" i="3"/>
  <c r="F41" i="3"/>
  <c r="F48" i="3"/>
  <c r="F46" i="3"/>
  <c r="H32" i="6"/>
  <c r="I32" i="6" s="1"/>
  <c r="F32" i="6"/>
  <c r="P66" i="1"/>
  <c r="C26" i="2"/>
  <c r="D15" i="7"/>
  <c r="H59" i="2"/>
  <c r="I34" i="3"/>
  <c r="I38" i="3" s="1"/>
  <c r="D16" i="7"/>
  <c r="I32" i="3"/>
  <c r="I36" i="3" s="1"/>
  <c r="I55" i="3" s="1"/>
  <c r="O46" i="1"/>
  <c r="F26" i="2"/>
  <c r="H26" i="2"/>
  <c r="F47" i="3"/>
  <c r="D9" i="2"/>
  <c r="P38" i="8"/>
  <c r="P33" i="1"/>
  <c r="P22" i="1"/>
  <c r="P21" i="1"/>
  <c r="B6" i="2"/>
  <c r="F6" i="2" s="1"/>
  <c r="P6" i="1"/>
  <c r="P41" i="1"/>
  <c r="P75" i="1"/>
  <c r="P88" i="1"/>
  <c r="P51" i="1"/>
  <c r="P32" i="1"/>
  <c r="P110" i="1"/>
  <c r="C6" i="2"/>
  <c r="P115" i="1"/>
  <c r="P108" i="1"/>
  <c r="P93" i="1"/>
  <c r="P80" i="1"/>
  <c r="P62" i="1"/>
  <c r="E26" i="2"/>
  <c r="G31" i="2"/>
  <c r="F31" i="2"/>
  <c r="H13" i="2"/>
  <c r="H40" i="3"/>
  <c r="H37" i="2"/>
  <c r="O24" i="1"/>
  <c r="B32" i="3"/>
  <c r="B59" i="2"/>
  <c r="B34" i="3"/>
  <c r="P34" i="1"/>
  <c r="E47" i="1"/>
  <c r="P68" i="1"/>
  <c r="P78" i="1"/>
  <c r="C36" i="2"/>
  <c r="P84" i="1"/>
  <c r="P95" i="1"/>
  <c r="P116" i="1"/>
  <c r="B36" i="2"/>
  <c r="D27" i="3"/>
  <c r="L33" i="3"/>
  <c r="L37" i="3" s="1"/>
  <c r="L56" i="3" s="1"/>
  <c r="E43" i="6"/>
  <c r="G40" i="6" s="1"/>
  <c r="H28" i="6"/>
  <c r="I28" i="6" s="1"/>
  <c r="H39" i="6"/>
  <c r="I39" i="6" s="1"/>
  <c r="F39" i="6"/>
  <c r="C17" i="7"/>
  <c r="P29" i="8"/>
  <c r="D30" i="2"/>
  <c r="P50" i="8"/>
  <c r="C44" i="4"/>
  <c r="D44" i="4" s="1"/>
  <c r="D26" i="1"/>
  <c r="D47" i="1"/>
  <c r="C39" i="2"/>
  <c r="F19" i="2"/>
  <c r="B53" i="3"/>
  <c r="O53" i="3" s="1"/>
  <c r="P12" i="1"/>
  <c r="C27" i="3"/>
  <c r="C28" i="3"/>
  <c r="P8" i="8"/>
  <c r="C42" i="4"/>
  <c r="D42" i="4" s="1"/>
  <c r="P45" i="1"/>
  <c r="P79" i="1"/>
  <c r="O117" i="1"/>
  <c r="P117" i="1" s="1"/>
  <c r="B13" i="2"/>
  <c r="G13" i="2" s="1"/>
  <c r="K27" i="3"/>
  <c r="M33" i="3"/>
  <c r="M37" i="3" s="1"/>
  <c r="M56" i="3" s="1"/>
  <c r="P14" i="1"/>
  <c r="D34" i="3"/>
  <c r="D38" i="3" s="1"/>
  <c r="D32" i="3"/>
  <c r="D36" i="3" s="1"/>
  <c r="D55" i="3" s="1"/>
  <c r="D59" i="2"/>
  <c r="M47" i="1"/>
  <c r="G47" i="1"/>
  <c r="P85" i="1"/>
  <c r="P97" i="1"/>
  <c r="B9" i="2"/>
  <c r="G9" i="2" s="1"/>
  <c r="B52" i="4"/>
  <c r="C52" i="4"/>
  <c r="E48" i="3"/>
  <c r="E39" i="3"/>
  <c r="L27" i="3"/>
  <c r="G28" i="6"/>
  <c r="F40" i="6"/>
  <c r="B45" i="2"/>
  <c r="G45" i="2" s="1"/>
  <c r="C45" i="2"/>
  <c r="D40" i="3"/>
  <c r="D54" i="3"/>
  <c r="P111" i="1"/>
  <c r="H33" i="6"/>
  <c r="I33" i="6" s="1"/>
  <c r="P23" i="1"/>
  <c r="P119" i="1"/>
  <c r="B49" i="2"/>
  <c r="G49" i="2" s="1"/>
  <c r="E19" i="2"/>
  <c r="O26" i="3"/>
  <c r="F33" i="6"/>
  <c r="F11" i="2"/>
  <c r="E11" i="2"/>
  <c r="P96" i="1"/>
  <c r="C17" i="5"/>
  <c r="D17" i="5" s="1"/>
  <c r="N47" i="1"/>
  <c r="N26" i="1"/>
  <c r="P36" i="1"/>
  <c r="E10" i="7"/>
  <c r="C34" i="3"/>
  <c r="C38" i="3" s="1"/>
  <c r="C40" i="3" s="1"/>
  <c r="P56" i="1"/>
  <c r="C9" i="2"/>
  <c r="N56" i="2"/>
  <c r="O17" i="3"/>
  <c r="M27" i="3"/>
  <c r="G34" i="3"/>
  <c r="G38" i="3" s="1"/>
  <c r="M47" i="3"/>
  <c r="E16" i="5"/>
  <c r="H40" i="6"/>
  <c r="I40" i="6" s="1"/>
  <c r="I40" i="3"/>
  <c r="D45" i="2"/>
  <c r="P81" i="8"/>
  <c r="L58" i="1"/>
  <c r="L101" i="1" s="1"/>
  <c r="P55" i="1"/>
  <c r="E11" i="7"/>
  <c r="D33" i="3"/>
  <c r="D37" i="3" s="1"/>
  <c r="D56" i="3" s="1"/>
  <c r="D61" i="2"/>
  <c r="N61" i="2" s="1"/>
  <c r="P70" i="1"/>
  <c r="P98" i="1"/>
  <c r="N62" i="2"/>
  <c r="D28" i="3"/>
  <c r="H34" i="3"/>
  <c r="H38" i="3" s="1"/>
  <c r="O39" i="3"/>
  <c r="B54" i="3"/>
  <c r="B25" i="4"/>
  <c r="O45" i="3"/>
  <c r="O48" i="3" s="1"/>
  <c r="H35" i="6"/>
  <c r="I35" i="6" s="1"/>
  <c r="B27" i="3"/>
  <c r="P71" i="1"/>
  <c r="B28" i="3"/>
  <c r="J32" i="3"/>
  <c r="J36" i="3" s="1"/>
  <c r="J55" i="3" s="1"/>
  <c r="C18" i="5"/>
  <c r="D18" i="5" s="1"/>
  <c r="P63" i="1"/>
  <c r="B10" i="2"/>
  <c r="G10" i="2" s="1"/>
  <c r="N60" i="2"/>
  <c r="F61" i="2"/>
  <c r="L32" i="3"/>
  <c r="L36" i="3" s="1"/>
  <c r="L55" i="3" s="1"/>
  <c r="E34" i="3"/>
  <c r="E38" i="3" s="1"/>
  <c r="L40" i="3"/>
  <c r="E16" i="7"/>
  <c r="K59" i="2"/>
  <c r="K32" i="3"/>
  <c r="K36" i="3" s="1"/>
  <c r="K55" i="3" s="1"/>
  <c r="P31" i="1"/>
  <c r="D25" i="2"/>
  <c r="J34" i="3"/>
  <c r="J38" i="3" s="1"/>
  <c r="F30" i="6"/>
  <c r="G37" i="6"/>
  <c r="C25" i="1"/>
  <c r="K34" i="3"/>
  <c r="K38" i="3" s="1"/>
  <c r="H37" i="6"/>
  <c r="I37" i="6" s="1"/>
  <c r="P5" i="8"/>
  <c r="D49" i="2"/>
  <c r="P39" i="8"/>
  <c r="P73" i="8"/>
  <c r="P39" i="1"/>
  <c r="B11" i="2"/>
  <c r="G11" i="2" s="1"/>
  <c r="G33" i="3"/>
  <c r="G37" i="3" s="1"/>
  <c r="G56" i="3" s="1"/>
  <c r="H30" i="6"/>
  <c r="I30" i="6" s="1"/>
  <c r="O120" i="1"/>
  <c r="P120" i="1" s="1"/>
  <c r="I28" i="3"/>
  <c r="F25" i="1"/>
  <c r="P13" i="1"/>
  <c r="E59" i="2"/>
  <c r="K46" i="3"/>
  <c r="K47" i="3"/>
  <c r="O47" i="3" s="1"/>
  <c r="B46" i="5"/>
  <c r="P57" i="8"/>
  <c r="D18" i="7"/>
  <c r="G39" i="6" l="1"/>
  <c r="G30" i="6"/>
  <c r="G33" i="6"/>
  <c r="F43" i="6"/>
  <c r="G32" i="6"/>
  <c r="C58" i="3"/>
  <c r="C41" i="3"/>
  <c r="M41" i="3"/>
  <c r="M58" i="3"/>
  <c r="H49" i="2"/>
  <c r="F49" i="2"/>
  <c r="E49" i="2"/>
  <c r="M48" i="1"/>
  <c r="M58" i="1"/>
  <c r="M101" i="1" s="1"/>
  <c r="C52" i="3"/>
  <c r="C46" i="4"/>
  <c r="D46" i="4" s="1"/>
  <c r="E17" i="5"/>
  <c r="D58" i="3"/>
  <c r="D41" i="3"/>
  <c r="N59" i="2"/>
  <c r="C47" i="4"/>
  <c r="D47" i="4" s="1"/>
  <c r="B16" i="4"/>
  <c r="B17" i="4" s="1"/>
  <c r="H32" i="2"/>
  <c r="F32" i="2"/>
  <c r="E32" i="2"/>
  <c r="K57" i="3"/>
  <c r="H57" i="3"/>
  <c r="O32" i="3"/>
  <c r="B36" i="3"/>
  <c r="H9" i="2"/>
  <c r="E9" i="2"/>
  <c r="D14" i="2"/>
  <c r="F9" i="2"/>
  <c r="F21" i="2"/>
  <c r="E21" i="2"/>
  <c r="H21" i="2"/>
  <c r="H38" i="2"/>
  <c r="F38" i="2"/>
  <c r="E38" i="2"/>
  <c r="O34" i="3"/>
  <c r="B38" i="3"/>
  <c r="F26" i="1"/>
  <c r="F47" i="1"/>
  <c r="C26" i="1"/>
  <c r="O25" i="1"/>
  <c r="C47" i="1"/>
  <c r="D23" i="5"/>
  <c r="F17" i="5" s="1"/>
  <c r="D57" i="3"/>
  <c r="G34" i="6"/>
  <c r="H43" i="6"/>
  <c r="I43" i="6" s="1"/>
  <c r="G38" i="6"/>
  <c r="G35" i="6"/>
  <c r="G31" i="6"/>
  <c r="G29" i="6"/>
  <c r="G36" i="6"/>
  <c r="C14" i="2"/>
  <c r="G14" i="2" s="1"/>
  <c r="P24" i="1"/>
  <c r="B14" i="2"/>
  <c r="B6" i="4"/>
  <c r="B13" i="4" s="1"/>
  <c r="C45" i="4"/>
  <c r="D45" i="4" s="1"/>
  <c r="G6" i="2"/>
  <c r="E6" i="2"/>
  <c r="F37" i="2"/>
  <c r="O37" i="3"/>
  <c r="B56" i="3"/>
  <c r="O56" i="3" s="1"/>
  <c r="K40" i="3"/>
  <c r="G57" i="3"/>
  <c r="G40" i="3"/>
  <c r="D58" i="1"/>
  <c r="D101" i="1" s="1"/>
  <c r="D48" i="1"/>
  <c r="E37" i="2"/>
  <c r="O33" i="3"/>
  <c r="D39" i="2"/>
  <c r="E58" i="1"/>
  <c r="E101" i="1" s="1"/>
  <c r="E48" i="1"/>
  <c r="D52" i="3"/>
  <c r="L41" i="3"/>
  <c r="L58" i="3"/>
  <c r="G48" i="1"/>
  <c r="G58" i="1"/>
  <c r="G101" i="1" s="1"/>
  <c r="E18" i="5"/>
  <c r="L57" i="3"/>
  <c r="H52" i="3"/>
  <c r="E45" i="2"/>
  <c r="H45" i="2"/>
  <c r="F45" i="2"/>
  <c r="N58" i="1"/>
  <c r="N101" i="1" s="1"/>
  <c r="N48" i="1"/>
  <c r="C21" i="2"/>
  <c r="G21" i="2" s="1"/>
  <c r="B7" i="4"/>
  <c r="B21" i="2"/>
  <c r="P46" i="1"/>
  <c r="E57" i="3"/>
  <c r="G18" i="2"/>
  <c r="E18" i="2"/>
  <c r="I58" i="3"/>
  <c r="I41" i="3"/>
  <c r="F18" i="2"/>
  <c r="M52" i="3"/>
  <c r="O28" i="3"/>
  <c r="K124" i="1"/>
  <c r="J63" i="2"/>
  <c r="K52" i="3"/>
  <c r="O27" i="3"/>
  <c r="B52" i="3"/>
  <c r="B29" i="4"/>
  <c r="F13" i="2"/>
  <c r="I57" i="3"/>
  <c r="M57" i="3"/>
  <c r="E20" i="5"/>
  <c r="J57" i="3"/>
  <c r="L52" i="3"/>
  <c r="H25" i="2"/>
  <c r="F25" i="2"/>
  <c r="E25" i="2"/>
  <c r="D27" i="2"/>
  <c r="C43" i="4"/>
  <c r="D43" i="4" s="1"/>
  <c r="E52" i="4"/>
  <c r="D52" i="4"/>
  <c r="H30" i="2"/>
  <c r="E30" i="2"/>
  <c r="F30" i="2"/>
  <c r="D33" i="2"/>
  <c r="E13" i="2"/>
  <c r="E52" i="3"/>
  <c r="F20" i="2"/>
  <c r="I58" i="1"/>
  <c r="I101" i="1" s="1"/>
  <c r="I48" i="1"/>
  <c r="H58" i="3"/>
  <c r="H41" i="3"/>
  <c r="C57" i="3"/>
  <c r="G36" i="2"/>
  <c r="F36" i="2"/>
  <c r="E36" i="2"/>
  <c r="J40" i="3"/>
  <c r="E40" i="3"/>
  <c r="E54" i="3"/>
  <c r="O54" i="3" s="1"/>
  <c r="H48" i="1"/>
  <c r="H58" i="1"/>
  <c r="H101" i="1" s="1"/>
  <c r="E46" i="5"/>
  <c r="D46" i="5"/>
  <c r="C18" i="7"/>
  <c r="K57" i="2"/>
  <c r="K59" i="3"/>
  <c r="F18" i="7"/>
  <c r="K58" i="2"/>
  <c r="L102" i="1"/>
  <c r="L112" i="1"/>
  <c r="L123" i="1" s="1"/>
  <c r="J47" i="1"/>
  <c r="J26" i="1"/>
  <c r="E10" i="2"/>
  <c r="F10" i="2"/>
  <c r="E20" i="2"/>
  <c r="E102" i="1" l="1"/>
  <c r="E112" i="1"/>
  <c r="E123" i="1" s="1"/>
  <c r="F11" i="7"/>
  <c r="D59" i="3"/>
  <c r="D57" i="2"/>
  <c r="D58" i="2"/>
  <c r="C11" i="7"/>
  <c r="L124" i="1"/>
  <c r="K63" i="2"/>
  <c r="F58" i="1"/>
  <c r="F101" i="1" s="1"/>
  <c r="F48" i="1"/>
  <c r="J58" i="3"/>
  <c r="J41" i="3"/>
  <c r="F10" i="7"/>
  <c r="C10" i="7"/>
  <c r="D102" i="1"/>
  <c r="C59" i="3"/>
  <c r="C57" i="2"/>
  <c r="C58" i="2"/>
  <c r="D112" i="1"/>
  <c r="D123" i="1" s="1"/>
  <c r="E23" i="5"/>
  <c r="D36" i="5"/>
  <c r="B42" i="5"/>
  <c r="F16" i="5"/>
  <c r="B29" i="5"/>
  <c r="B30" i="5" s="1"/>
  <c r="D24" i="5"/>
  <c r="F21" i="5"/>
  <c r="F22" i="5"/>
  <c r="F19" i="5"/>
  <c r="F59" i="3"/>
  <c r="G102" i="1"/>
  <c r="G112" i="1"/>
  <c r="G123" i="1" s="1"/>
  <c r="C13" i="7"/>
  <c r="F58" i="2"/>
  <c r="F13" i="7"/>
  <c r="F57" i="2"/>
  <c r="E47" i="4"/>
  <c r="B38" i="4"/>
  <c r="B36" i="4"/>
  <c r="E44" i="4"/>
  <c r="F44" i="4" s="1"/>
  <c r="G44" i="4" s="1"/>
  <c r="B37" i="4"/>
  <c r="B35" i="4"/>
  <c r="B34" i="4"/>
  <c r="E46" i="4"/>
  <c r="F46" i="4" s="1"/>
  <c r="G46" i="4" s="1"/>
  <c r="E42" i="4"/>
  <c r="F42" i="4" s="1"/>
  <c r="G42" i="4" s="1"/>
  <c r="E43" i="4"/>
  <c r="F43" i="4" s="1"/>
  <c r="G43" i="4" s="1"/>
  <c r="E45" i="4"/>
  <c r="F45" i="4" s="1"/>
  <c r="G45" i="4" s="1"/>
  <c r="B20" i="4"/>
  <c r="F20" i="5"/>
  <c r="K41" i="3"/>
  <c r="K58" i="3"/>
  <c r="F14" i="2"/>
  <c r="E14" i="2"/>
  <c r="D15" i="2"/>
  <c r="H14" i="2"/>
  <c r="C58" i="1"/>
  <c r="O47" i="1"/>
  <c r="C48" i="1"/>
  <c r="J48" i="1"/>
  <c r="J58" i="1"/>
  <c r="J101" i="1" s="1"/>
  <c r="B57" i="3"/>
  <c r="O57" i="3" s="1"/>
  <c r="O38" i="3"/>
  <c r="B40" i="3"/>
  <c r="O36" i="3"/>
  <c r="B55" i="3"/>
  <c r="O55" i="3" s="1"/>
  <c r="C19" i="7"/>
  <c r="L57" i="2"/>
  <c r="L59" i="3"/>
  <c r="F19" i="7"/>
  <c r="M102" i="1"/>
  <c r="M112" i="1"/>
  <c r="M123" i="1" s="1"/>
  <c r="L58" i="2"/>
  <c r="F18" i="5"/>
  <c r="O52" i="3"/>
  <c r="M57" i="2"/>
  <c r="M59" i="3"/>
  <c r="C20" i="7"/>
  <c r="N102" i="1"/>
  <c r="N112" i="1"/>
  <c r="N123" i="1" s="1"/>
  <c r="F20" i="7"/>
  <c r="M58" i="2"/>
  <c r="E58" i="3"/>
  <c r="E41" i="3"/>
  <c r="F33" i="2"/>
  <c r="H33" i="2"/>
  <c r="E33" i="2"/>
  <c r="P25" i="1"/>
  <c r="C15" i="2"/>
  <c r="G15" i="2" s="1"/>
  <c r="O26" i="1"/>
  <c r="B15" i="2"/>
  <c r="E39" i="2"/>
  <c r="H39" i="2"/>
  <c r="F39" i="2"/>
  <c r="G58" i="3"/>
  <c r="G41" i="3"/>
  <c r="H27" i="2"/>
  <c r="F27" i="2"/>
  <c r="E27" i="2"/>
  <c r="H58" i="2"/>
  <c r="I102" i="1"/>
  <c r="I112" i="1"/>
  <c r="I123" i="1" s="1"/>
  <c r="H59" i="3"/>
  <c r="H57" i="2"/>
  <c r="F15" i="7"/>
  <c r="C15" i="7"/>
  <c r="H102" i="1"/>
  <c r="F14" i="7"/>
  <c r="H112" i="1"/>
  <c r="H123" i="1" s="1"/>
  <c r="C14" i="7"/>
  <c r="G58" i="2"/>
  <c r="G57" i="2"/>
  <c r="G59" i="3"/>
  <c r="D30" i="5" l="1"/>
  <c r="C30" i="5"/>
  <c r="B38" i="5"/>
  <c r="O48" i="1"/>
  <c r="P47" i="1"/>
  <c r="L63" i="2"/>
  <c r="M124" i="1"/>
  <c r="H15" i="2"/>
  <c r="D41" i="2"/>
  <c r="E15" i="2"/>
  <c r="F15" i="2"/>
  <c r="D42" i="5"/>
  <c r="E42" i="5"/>
  <c r="E57" i="2"/>
  <c r="F112" i="1"/>
  <c r="F123" i="1" s="1"/>
  <c r="E58" i="2"/>
  <c r="C12" i="7"/>
  <c r="F102" i="1"/>
  <c r="E59" i="3"/>
  <c r="F12" i="7"/>
  <c r="I124" i="1"/>
  <c r="H63" i="2"/>
  <c r="M63" i="2"/>
  <c r="N124" i="1"/>
  <c r="I59" i="3"/>
  <c r="I57" i="2"/>
  <c r="J112" i="1"/>
  <c r="J123" i="1" s="1"/>
  <c r="C16" i="7"/>
  <c r="I58" i="2"/>
  <c r="F16" i="7"/>
  <c r="J102" i="1"/>
  <c r="C57" i="4"/>
  <c r="D57" i="4" s="1"/>
  <c r="F57" i="4" s="1"/>
  <c r="C60" i="4"/>
  <c r="D60" i="4" s="1"/>
  <c r="F60" i="4" s="1"/>
  <c r="B51" i="4"/>
  <c r="F47" i="4"/>
  <c r="G47" i="4" s="1"/>
  <c r="C59" i="4"/>
  <c r="D59" i="4" s="1"/>
  <c r="F59" i="4" s="1"/>
  <c r="C58" i="4"/>
  <c r="D58" i="4" s="1"/>
  <c r="F58" i="4" s="1"/>
  <c r="B41" i="3"/>
  <c r="O41" i="3" s="1"/>
  <c r="O40" i="3"/>
  <c r="B58" i="3"/>
  <c r="O58" i="3" s="1"/>
  <c r="B22" i="4"/>
  <c r="B27" i="4"/>
  <c r="B28" i="4" s="1"/>
  <c r="B30" i="4" s="1"/>
  <c r="B21" i="4"/>
  <c r="F63" i="2"/>
  <c r="G124" i="1"/>
  <c r="D29" i="5"/>
  <c r="C29" i="5"/>
  <c r="C63" i="2"/>
  <c r="D124" i="1"/>
  <c r="D63" i="2"/>
  <c r="E124" i="1"/>
  <c r="C101" i="1"/>
  <c r="O58" i="1"/>
  <c r="P58" i="1" s="1"/>
  <c r="G63" i="2"/>
  <c r="H124" i="1"/>
  <c r="D42" i="2" l="1"/>
  <c r="H41" i="2"/>
  <c r="D46" i="2"/>
  <c r="I63" i="2"/>
  <c r="J124" i="1"/>
  <c r="C38" i="5"/>
  <c r="B44" i="5" s="1"/>
  <c r="B43" i="5"/>
  <c r="D38" i="5"/>
  <c r="B45" i="5" s="1"/>
  <c r="F124" i="1"/>
  <c r="E63" i="2"/>
  <c r="B57" i="2"/>
  <c r="N57" i="2" s="1"/>
  <c r="C112" i="1"/>
  <c r="C102" i="1"/>
  <c r="C103" i="1"/>
  <c r="D103" i="1" s="1"/>
  <c r="E103" i="1" s="1"/>
  <c r="F103" i="1" s="1"/>
  <c r="G103" i="1" s="1"/>
  <c r="H103" i="1" s="1"/>
  <c r="I103" i="1" s="1"/>
  <c r="J103" i="1" s="1"/>
  <c r="K103" i="1" s="1"/>
  <c r="L103" i="1" s="1"/>
  <c r="M103" i="1" s="1"/>
  <c r="N103" i="1" s="1"/>
  <c r="B59" i="3"/>
  <c r="O59" i="3" s="1"/>
  <c r="B58" i="2"/>
  <c r="N58" i="2" s="1"/>
  <c r="C9" i="7"/>
  <c r="F9" i="7"/>
  <c r="O101" i="1"/>
  <c r="C51" i="4"/>
  <c r="B53" i="4"/>
  <c r="E51" i="4" l="1"/>
  <c r="E53" i="4" s="1"/>
  <c r="D51" i="4"/>
  <c r="D53" i="4" s="1"/>
  <c r="C53" i="4"/>
  <c r="C123" i="1"/>
  <c r="O112" i="1"/>
  <c r="D43" i="5"/>
  <c r="E43" i="5"/>
  <c r="D51" i="2"/>
  <c r="H46" i="2"/>
  <c r="E42" i="2"/>
  <c r="F42" i="2"/>
  <c r="H42" i="2"/>
  <c r="E45" i="5"/>
  <c r="D45" i="5"/>
  <c r="E44" i="5"/>
  <c r="D44" i="5"/>
  <c r="C41" i="2"/>
  <c r="P101" i="1"/>
  <c r="B41" i="2"/>
  <c r="B42" i="2" s="1"/>
  <c r="O102" i="1"/>
  <c r="O103" i="1"/>
  <c r="D52" i="2" l="1"/>
  <c r="H51" i="2"/>
  <c r="C124" i="1"/>
  <c r="O123" i="1"/>
  <c r="B63" i="2"/>
  <c r="N63" i="2" s="1"/>
  <c r="B46" i="2"/>
  <c r="C46" i="2"/>
  <c r="P112" i="1"/>
  <c r="G41" i="2"/>
  <c r="C42" i="2"/>
  <c r="G42" i="2" s="1"/>
  <c r="E41" i="2"/>
  <c r="F41" i="2"/>
  <c r="G46" i="2" l="1"/>
  <c r="E46" i="2"/>
  <c r="F46" i="2"/>
  <c r="P123" i="1"/>
  <c r="C51" i="2"/>
  <c r="B51" i="2"/>
  <c r="B52" i="2" s="1"/>
  <c r="F52" i="2" s="1"/>
  <c r="O124" i="1"/>
  <c r="H52" i="2"/>
  <c r="E52" i="2" l="1"/>
  <c r="C52" i="2"/>
  <c r="G52" i="2" s="1"/>
  <c r="G51" i="2"/>
  <c r="F51" i="2"/>
  <c r="E51" i="2"/>
</calcChain>
</file>

<file path=xl/sharedStrings.xml><?xml version="1.0" encoding="utf-8"?>
<sst xmlns="http://schemas.openxmlformats.org/spreadsheetml/2006/main" count="1184" uniqueCount="799">
  <si>
    <t>PERU ON ICE S.A.C. — P&amp;L GERENCIAL 2025 (SIN IGV)</t>
  </si>
  <si>
    <t>RUC: 20613509446  |  Moneda: S/ Soles  |  Sin IGV  |  Ejercicio: Enero–Diciembre 2025</t>
  </si>
  <si>
    <t>CONCEPTO</t>
  </si>
  <si>
    <t>CTA.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</si>
  <si>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</si>
  <si>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</si>
  <si>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</si>
  <si>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</si>
  <si>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</si>
  <si>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</si>
  <si>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</si>
  <si>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</si>
  <si>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</si>
  <si>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</si>
  <si>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</si>
  <si>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</si>
  <si>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TOTAL ANUAL</t>
  </si>
  <si>
    <t>% REV.</t>
  </si>
  <si>
    <t xml:space="preserve">  A. INGRESOS</t>
  </si>
  <si>
    <t>Ingresos por Servicios de Pista</t>
  </si>
  <si>
    <t>7032100</t>
  </si>
  <si>
    <t xml:space="preserve">    ► Ticket Promedio </t>
  </si>
  <si>
    <t xml:space="preserve">  TOTAL INGRESOS</t>
  </si>
  <si>
    <t xml:space="preserve">  B. COSTOS OPERATIVOS DEL HIELO</t>
  </si>
  <si>
    <t>Energía Eléctrica</t>
  </si>
  <si>
    <t>6361100</t>
  </si>
  <si>
    <t>Alquiler Chiller (Refrigeración)</t>
  </si>
  <si>
    <t>6352101</t>
  </si>
  <si>
    <t>Agua</t>
  </si>
  <si>
    <t>6363100</t>
  </si>
  <si>
    <t>Mantenimiento Local</t>
  </si>
  <si>
    <t>6341101</t>
  </si>
  <si>
    <t>Mant. Prop. Planta y Equipo</t>
  </si>
  <si>
    <t>6343100</t>
  </si>
  <si>
    <t>Servicio de Patinaje</t>
  </si>
  <si>
    <t>6381115</t>
  </si>
  <si>
    <t>Servicio Tópico (Enfermería)</t>
  </si>
  <si>
    <t>6381117</t>
  </si>
  <si>
    <t>Suministros Operativos</t>
  </si>
  <si>
    <t>6561100</t>
  </si>
  <si>
    <t>Útiles de Aseo</t>
  </si>
  <si>
    <t>6561103</t>
  </si>
  <si>
    <t>Artículos de Ferretería</t>
  </si>
  <si>
    <t>6561104</t>
  </si>
  <si>
    <t>Botiquín</t>
  </si>
  <si>
    <t>6561106</t>
  </si>
  <si>
    <t>Gastos a Reparar</t>
  </si>
  <si>
    <t>6591104</t>
  </si>
  <si>
    <t>Uniformes</t>
  </si>
  <si>
    <t>6591105</t>
  </si>
  <si>
    <t xml:space="preserve">  TOTAL COSTOS OPERATIVOS DEL HIELO</t>
  </si>
  <si>
    <t xml:space="preserve">  ★ UTILIDAD BRUTA OPERATIVA  (A − B)</t>
  </si>
  <si>
    <t xml:space="preserve">    Margen Bruto Operativo (%)</t>
  </si>
  <si>
    <t xml:space="preserve">  C. COSTO DE PERSONAL</t>
  </si>
  <si>
    <t>Sueldos y Salarios</t>
  </si>
  <si>
    <t>6211100</t>
  </si>
  <si>
    <t>Asignación Familiar</t>
  </si>
  <si>
    <t>6211101</t>
  </si>
  <si>
    <t>Remuneración Vacacional</t>
  </si>
  <si>
    <t>6211103</t>
  </si>
  <si>
    <t>Rem. por Feriados</t>
  </si>
  <si>
    <t>6211104</t>
  </si>
  <si>
    <t>Movilidad Personal</t>
  </si>
  <si>
    <t>6211105</t>
  </si>
  <si>
    <t>Rem. Vacacional Trunca</t>
  </si>
  <si>
    <t>6211106</t>
  </si>
  <si>
    <t>Horas Extras</t>
  </si>
  <si>
    <t>6212101</t>
  </si>
  <si>
    <t>Gratificaciones</t>
  </si>
  <si>
    <t>6214100</t>
  </si>
  <si>
    <t>Bonificación Extraordinaria</t>
  </si>
  <si>
    <t>6214101</t>
  </si>
  <si>
    <t>Bonificación Regular</t>
  </si>
  <si>
    <t>6214103</t>
  </si>
  <si>
    <t>Vacaciones</t>
  </si>
  <si>
    <t>6215100</t>
  </si>
  <si>
    <t>Otras Remuneraciones</t>
  </si>
  <si>
    <t>6221100</t>
  </si>
  <si>
    <t>Capacitación</t>
  </si>
  <si>
    <t>6241100</t>
  </si>
  <si>
    <t>Atención al Personal</t>
  </si>
  <si>
    <t>6251100</t>
  </si>
  <si>
    <t>EsSalud</t>
  </si>
  <si>
    <t>6271100</t>
  </si>
  <si>
    <t>SCTR</t>
  </si>
  <si>
    <t>6273100</t>
  </si>
  <si>
    <t>CTS</t>
  </si>
  <si>
    <t>6291100</t>
  </si>
  <si>
    <t xml:space="preserve">  TOTAL COSTO DE PERSONAL</t>
  </si>
  <si>
    <t xml:space="preserve">  ★ UTILIDAD DESPUÉS DE PERSONAL  (UBO − C)</t>
  </si>
  <si>
    <t xml:space="preserve">    Margen después de Personal (%)</t>
  </si>
  <si>
    <t xml:space="preserve">  D. GASTOS COMERCIALES</t>
  </si>
  <si>
    <t>Publicidad y Marketing</t>
  </si>
  <si>
    <t>6371100</t>
  </si>
  <si>
    <t>Servicios de Diseño Gráfico</t>
  </si>
  <si>
    <t>6381105</t>
  </si>
  <si>
    <t>Creación de Contenido Digital</t>
  </si>
  <si>
    <t>6381108</t>
  </si>
  <si>
    <t>Servicio de Eventos</t>
  </si>
  <si>
    <t>6381110</t>
  </si>
  <si>
    <t>Comisión sobre Ventas</t>
  </si>
  <si>
    <t>6381114</t>
  </si>
  <si>
    <t>Comisión Tarjeta de Crédito</t>
  </si>
  <si>
    <t>6561110</t>
  </si>
  <si>
    <t xml:space="preserve">  TOTAL GASTOS COMERCIALES</t>
  </si>
  <si>
    <t xml:space="preserve">  ★ UTILIDAD COMERCIAL  (UDP − D)</t>
  </si>
  <si>
    <t xml:space="preserve">  E. GASTOS ADMINISTRATIVOS</t>
  </si>
  <si>
    <t>Asesoría Administrativa</t>
  </si>
  <si>
    <t>6321100</t>
  </si>
  <si>
    <t>Asesoría Legal / Tributaria</t>
  </si>
  <si>
    <t>6322100</t>
  </si>
  <si>
    <t>Auditoría y Contabilidad</t>
  </si>
  <si>
    <t>6323100</t>
  </si>
  <si>
    <t>Otros Servicios de Asesoría</t>
  </si>
  <si>
    <t>6329100</t>
  </si>
  <si>
    <t>Gastos Bancarios</t>
  </si>
  <si>
    <t>6391100</t>
  </si>
  <si>
    <t>ITF</t>
  </si>
  <si>
    <t>6412100</t>
  </si>
  <si>
    <t>Arbitrios Municipales</t>
  </si>
  <si>
    <t>6432100</t>
  </si>
  <si>
    <t>Otros Tributos</t>
  </si>
  <si>
    <t>6443100</t>
  </si>
  <si>
    <t>Intereses Deuda Tributaria</t>
  </si>
  <si>
    <t>6451100</t>
  </si>
  <si>
    <t>Seguros</t>
  </si>
  <si>
    <t>6511100</t>
  </si>
  <si>
    <t>Suscripciones</t>
  </si>
  <si>
    <t>6531100</t>
  </si>
  <si>
    <t>Licencias</t>
  </si>
  <si>
    <t>6541100</t>
  </si>
  <si>
    <t>Útiles de Oficina</t>
  </si>
  <si>
    <t>6561102</t>
  </si>
  <si>
    <t>Gastos Registro Público</t>
  </si>
  <si>
    <t>6561105</t>
  </si>
  <si>
    <t>Activo Menor</t>
  </si>
  <si>
    <t>6561107</t>
  </si>
  <si>
    <t>Gastos Notariales</t>
  </si>
  <si>
    <t>6561108</t>
  </si>
  <si>
    <t>Impresiones y Copias</t>
  </si>
  <si>
    <t>6561109</t>
  </si>
  <si>
    <t>Peaje</t>
  </si>
  <si>
    <t>6591103</t>
  </si>
  <si>
    <t>Gastos de Representación</t>
  </si>
  <si>
    <t>6591106</t>
  </si>
  <si>
    <t>Otros Gastos Diversos</t>
  </si>
  <si>
    <t>6591107</t>
  </si>
  <si>
    <t xml:space="preserve">  TOTAL GASTOS ADMINISTRATIVOS</t>
  </si>
  <si>
    <t xml:space="preserve">  F. GASTOS FIJOS / ESTRUCTURA</t>
  </si>
  <si>
    <t>Alquiler Local (Estructura)</t>
  </si>
  <si>
    <t>6352102</t>
  </si>
  <si>
    <t>Alquiler de Equipos</t>
  </si>
  <si>
    <t>6356100</t>
  </si>
  <si>
    <t>Internet y Conectividad</t>
  </si>
  <si>
    <t>6365100</t>
  </si>
  <si>
    <t>Servicio de Monitoreo/CCTV</t>
  </si>
  <si>
    <t>6381100</t>
  </si>
  <si>
    <t>Servicios Informáticos</t>
  </si>
  <si>
    <t>6381101</t>
  </si>
  <si>
    <t>Servicio Operador</t>
  </si>
  <si>
    <t>6381102</t>
  </si>
  <si>
    <t>Servicios de Sistemas</t>
  </si>
  <si>
    <t>6381103</t>
  </si>
  <si>
    <t>Soporte Técnico</t>
  </si>
  <si>
    <t>6381104</t>
  </si>
  <si>
    <t>Servicio de Seguridad</t>
  </si>
  <si>
    <t>6381111</t>
  </si>
  <si>
    <t>Servicios Varios</t>
  </si>
  <si>
    <t>6381112</t>
  </si>
  <si>
    <t>Transporte de Carga</t>
  </si>
  <si>
    <t>6311100</t>
  </si>
  <si>
    <t>Transporte de Pasajeros</t>
  </si>
  <si>
    <t>6311200</t>
  </si>
  <si>
    <t>Planilla Movilidad</t>
  </si>
  <si>
    <t>6311201</t>
  </si>
  <si>
    <t>Alojamiento</t>
  </si>
  <si>
    <t>6313100</t>
  </si>
  <si>
    <t>Alimentación Operativa</t>
  </si>
  <si>
    <t>6314100</t>
  </si>
  <si>
    <t xml:space="preserve">  TOTAL GASTOS FIJOS / ESTRUCTURA</t>
  </si>
  <si>
    <t xml:space="preserve">  ★★ EBITDA  (UC − E − F)</t>
  </si>
  <si>
    <t xml:space="preserve">    Margen EBITDA (%)</t>
  </si>
  <si>
    <t xml:space="preserve">    EBITDA Acumulado YTD</t>
  </si>
  <si>
    <t xml:space="preserve">  G. DEPRECIACIÓN Y AMORTIZACIÓN</t>
  </si>
  <si>
    <t>Dep. Prop. Inv. Edificaciones</t>
  </si>
  <si>
    <t>6811100</t>
  </si>
  <si>
    <t>Dep. Maquinaria</t>
  </si>
  <si>
    <t>6841200</t>
  </si>
  <si>
    <t>Dep. Muebles y Enseres</t>
  </si>
  <si>
    <t>6841400</t>
  </si>
  <si>
    <t>Dep. Equipos Diversos</t>
  </si>
  <si>
    <t>6841500</t>
  </si>
  <si>
    <t>Dep. Equipos Informáticos</t>
  </si>
  <si>
    <t>6841501</t>
  </si>
  <si>
    <t xml:space="preserve">  TOTAL DEPRECIACIÓN</t>
  </si>
  <si>
    <t xml:space="preserve">  EBIT — Utilidad Operativa  (EBITDA − G)</t>
  </si>
  <si>
    <t xml:space="preserve">  H. RESULTADO FINANCIERO</t>
  </si>
  <si>
    <t>Dif. de Cambio (Pérdida)</t>
  </si>
  <si>
    <t>6761100</t>
  </si>
  <si>
    <t>Dif. por Redondeo (Pérdida)</t>
  </si>
  <si>
    <t>6761101</t>
  </si>
  <si>
    <t xml:space="preserve">  Total Gastos Financieros (−)</t>
  </si>
  <si>
    <t>Dif. de Cambio (Ganancia)</t>
  </si>
  <si>
    <t>7761100</t>
  </si>
  <si>
    <t>Dif. por Redondeo (Ganancia)</t>
  </si>
  <si>
    <t>7761101</t>
  </si>
  <si>
    <t xml:space="preserve">  Total Ingresos Financieros (+)</t>
  </si>
  <si>
    <t xml:space="preserve">  Resultado Financiero Neto</t>
  </si>
  <si>
    <t xml:space="preserve">  ★★★ UTILIDAD NETA</t>
  </si>
  <si>
    <t xml:space="preserve">    Margen Neto (%)</t>
  </si>
  <si>
    <t>PERU ON ICE — COMPARATIVO GERENCIAL: P&amp;L 2026 REAL vs PRESUPUESTO 2026 (SIN IGV)</t>
  </si>
  <si>
    <t xml:space="preserve">  ▌ PARTE 1 — RESUMEN ANUAL</t>
  </si>
  <si>
    <t>REAL 2026 (S/)</t>
  </si>
  <si>
    <t>PL 2025 (S/)</t>
  </si>
  <si>
    <t>PPTO 2026 (S/)</t>
  </si>
  <si>
    <t>VAR. (S/)</t>
  </si>
  <si>
    <t>VAR. (%)</t>
  </si>
  <si>
    <t>% REV 2025</t>
  </si>
  <si>
    <t>% REV 2026</t>
  </si>
  <si>
    <t>TENDENCIA</t>
  </si>
  <si>
    <t xml:space="preserve">  Ingresos por Servicios de Pista</t>
  </si>
  <si>
    <t>▲ Mayor gasto</t>
  </si>
  <si>
    <t xml:space="preserve">    Energía Eléctrica</t>
  </si>
  <si>
    <t xml:space="preserve">    Alquiler Chiller (Refrigeración)</t>
  </si>
  <si>
    <t>══</t>
  </si>
  <si>
    <t xml:space="preserve">    Agua</t>
  </si>
  <si>
    <t xml:space="preserve">    Mantenimiento Local</t>
  </si>
  <si>
    <t xml:space="preserve">    Otros costos operativos</t>
  </si>
  <si>
    <t xml:space="preserve">  TOTAL Costos Op. Hielo</t>
  </si>
  <si>
    <t xml:space="preserve">  ★ UTILIDAD BRUTA OPERATIVA</t>
  </si>
  <si>
    <t>▲ Mejora</t>
  </si>
  <si>
    <t xml:space="preserve">    Sueldos y Salarios</t>
  </si>
  <si>
    <t xml:space="preserve">    Gratificaciones + CTS + EsSalud</t>
  </si>
  <si>
    <t xml:space="preserve">    Otras remuneraciones y cargas</t>
  </si>
  <si>
    <t xml:space="preserve">  TOTAL Personal</t>
  </si>
  <si>
    <t xml:space="preserve">    Comisión Tarjeta de Crédito</t>
  </si>
  <si>
    <t xml:space="preserve">    Publicidad y Marketing</t>
  </si>
  <si>
    <t xml:space="preserve">    Comisión Ventas + Eventos</t>
  </si>
  <si>
    <t xml:space="preserve">  TOTAL Comercial</t>
  </si>
  <si>
    <t xml:space="preserve">    Asesorías (Admin+Legal+Contab)</t>
  </si>
  <si>
    <t xml:space="preserve">    Tributos y Seguros</t>
  </si>
  <si>
    <t xml:space="preserve">    Otros administrativos</t>
  </si>
  <si>
    <t xml:space="preserve">  TOTAL Administrativo</t>
  </si>
  <si>
    <t xml:space="preserve">    Alquiler Local</t>
  </si>
  <si>
    <t xml:space="preserve">    Servicio de Seguridad</t>
  </si>
  <si>
    <t xml:space="preserve">    Otros servicios estructura</t>
  </si>
  <si>
    <t xml:space="preserve">  TOTAL Estructura</t>
  </si>
  <si>
    <t xml:space="preserve">  ★★ EBITDA</t>
  </si>
  <si>
    <t xml:space="preserve">     Margen EBITDA (%)</t>
  </si>
  <si>
    <t xml:space="preserve">  G. DEPRECIACIÓN</t>
  </si>
  <si>
    <t xml:space="preserve">  TOTAL Depreciación</t>
  </si>
  <si>
    <t xml:space="preserve">  EBIT — Utilidad Operativa</t>
  </si>
  <si>
    <t xml:space="preserve">  H. RESULTADO FINANCIERO NETO</t>
  </si>
  <si>
    <t xml:space="preserve">     Margen Neto (%)</t>
  </si>
  <si>
    <t xml:space="preserve">  ▌ PARTE 2 — EVOLUCIÓN MENSUAL 2025 (P&amp;L Real)</t>
  </si>
  <si>
    <t>MÉTRICA</t>
  </si>
  <si>
    <t>TOTAL</t>
  </si>
  <si>
    <t xml:space="preserve">  Ingresos (S/)</t>
  </si>
  <si>
    <t xml:space="preserve">  EBITDA (S/)</t>
  </si>
  <si>
    <t xml:space="preserve">  % Margen EBITDA</t>
  </si>
  <si>
    <t xml:space="preserve">  Costos Op. Hielo (S/)</t>
  </si>
  <si>
    <t xml:space="preserve">  % Energía/Ingresos</t>
  </si>
  <si>
    <t xml:space="preserve">  Personal (S/)</t>
  </si>
  <si>
    <t xml:space="preserve">  Alquiler Local (S/)</t>
  </si>
  <si>
    <t xml:space="preserve">  Utilidad Neta (S/)</t>
  </si>
  <si>
    <t>PERU ON ICE — DRIVERS OPERATIVOS Y MODELO DE INGRESOS</t>
  </si>
  <si>
    <t xml:space="preserve"> Aforo: 40 pers. pista / 98 local  |  Chiller: 24/7</t>
  </si>
  <si>
    <t>MÉTRICA / PARÁMETRO</t>
  </si>
  <si>
    <t>TOTAL / PROM.</t>
  </si>
  <si>
    <t xml:space="preserve">  1. ESTRUCTURA DE TARIFAS Y MEZCLA DE PRODUCTOS</t>
  </si>
  <si>
    <t>PRODUCTO/SERVICIO</t>
  </si>
  <si>
    <t>PRECIO</t>
  </si>
  <si>
    <t>DESCRIPCIÓN</t>
  </si>
  <si>
    <t>SEGMENTO</t>
  </si>
  <si>
    <t xml:space="preserve">  Entrada 25 minutos</t>
  </si>
  <si>
    <t>S/ 35</t>
  </si>
  <si>
    <t>Tarifa estándar público general</t>
  </si>
  <si>
    <t xml:space="preserve">  Entrada 55 minutos</t>
  </si>
  <si>
    <t>S/ 60</t>
  </si>
  <si>
    <t>Tarifa extendida público general</t>
  </si>
  <si>
    <t xml:space="preserve">  Membresía Coach</t>
  </si>
  <si>
    <t>S/ 150/mes</t>
  </si>
  <si>
    <t>Acceso 5AM-10PM ilimitado</t>
  </si>
  <si>
    <t xml:space="preserve">  Membresía Deportistas</t>
  </si>
  <si>
    <t>S/ 350/mes</t>
  </si>
  <si>
    <t>Clases L/M 4:40-9:30 PM | M/J 4:30-6 PM + Free Practice 5-9 AM</t>
  </si>
  <si>
    <t xml:space="preserve">  Salón Off-Ice</t>
  </si>
  <si>
    <t>S/ 30</t>
  </si>
  <si>
    <t>Uso del salón sin acceso a pista</t>
  </si>
  <si>
    <t xml:space="preserve">  2. TICKET PROMEDIO REAL Y VISITAS MENSUALES</t>
  </si>
  <si>
    <t xml:space="preserve">  Ticket Promedio Real (S/) — Calibrado Feb 2025</t>
  </si>
  <si>
    <t xml:space="preserve">  Visitas al Mes (real/estimado)</t>
  </si>
  <si>
    <t>↑ Confirmado
Feb 2025</t>
  </si>
  <si>
    <t xml:space="preserve">  Ingresos Calculados (Visitas × Ticket)</t>
  </si>
  <si>
    <t xml:space="preserve">  Ingresos Reales P&amp;L (vínculo)</t>
  </si>
  <si>
    <t xml:space="preserve">  3. CAPACIDAD DE PISTA Y ANÁLISIS DE OCUPACIÓN</t>
  </si>
  <si>
    <t xml:space="preserve">  HORARIO: Atención al público 10AM-10PM (12 hrs/día)  |  Clases L/M: 4:40PM-9:30PM (pista cerrada a público)  |  Clases M/J: 4:30PM-6PM (pista cerrada a público)  |  Mantenimiento: 1PM y 6PM (~15 min c/u)  |  Chiller: 24/7  |  Aforo pista: 40 personas</t>
  </si>
  <si>
    <t xml:space="preserve">  Horas Disponibles al Público (calculadas por calendario)</t>
  </si>
  <si>
    <t xml:space="preserve">  Aforo Máximo Pista (personas simultáneas)</t>
  </si>
  <si>
    <t xml:space="preserve">  Duración Prom. Sesión (hrs) — calculada del mix Simulador: =(vol_25*(25/60)+vol_55*(55/60))/(vol_25+vol_55)</t>
  </si>
  <si>
    <t xml:space="preserve">  Capacidad Máxima (person-horas / mes)</t>
  </si>
  <si>
    <t xml:space="preserve">  Person-Horas Vendidas (visitas × duración prom.)</t>
  </si>
  <si>
    <t xml:space="preserve">  ★ % Ocupación de Pista</t>
  </si>
  <si>
    <t xml:space="preserve">  Personas Promedio Simultáneas en Pista</t>
  </si>
  <si>
    <t xml:space="preserve">  Visitas por Hora Disponible</t>
  </si>
  <si>
    <t xml:space="preserve">  4. ANÁLISIS DE INGRESO Y COSTO POR HORA — KPIs CLAVE</t>
  </si>
  <si>
    <t xml:space="preserve">  Costos Operativos Hielo (del P&amp;L)</t>
  </si>
  <si>
    <t xml:space="preserve">  Costo de Personal (del P&amp;L)</t>
  </si>
  <si>
    <t xml:space="preserve">  Costos Totales Operativos (sin Deprec.)</t>
  </si>
  <si>
    <t xml:space="preserve">  ⚡ Costo Operativo Hielo por Hora Disponible (S/)</t>
  </si>
  <si>
    <t xml:space="preserve">  👥 Costo de Personal por Hora Disponible (S/)</t>
  </si>
  <si>
    <t xml:space="preserve">  💼 Costo Total por Hora Disponible (S/)</t>
  </si>
  <si>
    <t xml:space="preserve">  💰 Ingreso por Hora Disponible (S/)</t>
  </si>
  <si>
    <t xml:space="preserve">  ★ MARGEN por Hora (S/) = Ingreso/hr − Costo/hr</t>
  </si>
  <si>
    <t xml:space="preserve">     Margen por Hora (%)</t>
  </si>
  <si>
    <t xml:space="preserve">  5. ANÁLISIS ENERGÉTICO — CHILLER 24/7 vs HORARIO PÚBLICO</t>
  </si>
  <si>
    <t xml:space="preserve">  Horas Totales Chiller/mes (24hrs × días del mes)</t>
  </si>
  <si>
    <t xml:space="preserve">  Energía Eléctrica Mensual (del P&amp;L)</t>
  </si>
  <si>
    <t xml:space="preserve">  Costo Energía por Hora de Chiller (S/hr)</t>
  </si>
  <si>
    <t xml:space="preserve">  Costo Energía por Hora de Público recreativo (S/hr)</t>
  </si>
  <si>
    <t xml:space="preserve">  % Energía Eléctrica sobre Ingresos — Fórmula: Energía del P&amp;L / Ingresos del P&amp;L</t>
  </si>
  <si>
    <t xml:space="preserve">  6. RESUMEN KPIs GERENCIALES MENSUALES</t>
  </si>
  <si>
    <t>KPI</t>
  </si>
  <si>
    <t>PROM/TOTAL</t>
  </si>
  <si>
    <t xml:space="preserve">  % Ocupación Pista</t>
  </si>
  <si>
    <t xml:space="preserve">  Visitas/Hora Disponible</t>
  </si>
  <si>
    <t xml:space="preserve">  Ingreso por Hora (S/)</t>
  </si>
  <si>
    <t xml:space="preserve">  Costo Op. Hielo/Hora (S/)</t>
  </si>
  <si>
    <t xml:space="preserve">  Costo Personal/Hora (S/)</t>
  </si>
  <si>
    <t xml:space="preserve">  Costo Total/Hora (S/)</t>
  </si>
  <si>
    <t xml:space="preserve">  Margen por Hora (S/)</t>
  </si>
  <si>
    <t xml:space="preserve">  EBITDA Mensual (S/)</t>
  </si>
  <si>
    <t>PERU ON ICE — ANÁLISIS DE PUNTO DE EQUILIBRIO (BREAK-EVEN)</t>
  </si>
  <si>
    <t xml:space="preserve">  1. ESTRUCTURA DE COSTOS ANUAL 2025</t>
  </si>
  <si>
    <t xml:space="preserve">  Ingresos Reales 2025</t>
  </si>
  <si>
    <t>Fuente: P&amp;L Gerencial</t>
  </si>
  <si>
    <t xml:space="preserve">  Costos Operativos del Hielo (B)</t>
  </si>
  <si>
    <t>Energía + Chiller + Operación directa</t>
  </si>
  <si>
    <t xml:space="preserve">  Costo de Personal (C)</t>
  </si>
  <si>
    <t>Planilla completa + cargas sociales</t>
  </si>
  <si>
    <t xml:space="preserve">  Gastos Comerciales (D)</t>
  </si>
  <si>
    <t>Marketing + comisiones</t>
  </si>
  <si>
    <t xml:space="preserve">  Gastos Administrativos (E)</t>
  </si>
  <si>
    <t>Asesorías + tributos + seguros</t>
  </si>
  <si>
    <t xml:space="preserve">  Gastos de Estructura (F)</t>
  </si>
  <si>
    <t>Alquiler local + servicios fijos</t>
  </si>
  <si>
    <t xml:space="preserve">  2. CLASIFICACIÓN: COSTOS FIJOS VS. VARIABLES</t>
  </si>
  <si>
    <t xml:space="preserve">  (+) Costos Fijos Totales</t>
  </si>
  <si>
    <t>Op. Hielo + Personal + Adm. + Estructura</t>
  </si>
  <si>
    <t xml:space="preserve">  (−) Costos Variables Totales</t>
  </si>
  <si>
    <t>Comercial: comisiones proporcionales a ventas</t>
  </si>
  <si>
    <t xml:space="preserve">  % Costos Variables sobre Ventas</t>
  </si>
  <si>
    <t>Ratio para cálculo de punto de equilibrio</t>
  </si>
  <si>
    <t xml:space="preserve">  Margen de Contribución (%)</t>
  </si>
  <si>
    <t>% que queda de cada s/ de ingreso para cubrir costos fijos</t>
  </si>
  <si>
    <t xml:space="preserve">  Margen de Contribución (S/)</t>
  </si>
  <si>
    <t>total disponible para cubrir costos fijos</t>
  </si>
  <si>
    <t xml:space="preserve">  3. PUNTO DE EQUILIBRIO — RESULTADOS</t>
  </si>
  <si>
    <t xml:space="preserve">  ▶ Punto de equilibrio en VENTAS ANUALES (S/)</t>
  </si>
  <si>
    <t>ingresos mínimos anuales para cubrir todos los costos</t>
  </si>
  <si>
    <t xml:space="preserve">  ▶ Punto de equilibrio MENSUAL Promedio (S/)</t>
  </si>
  <si>
    <t>ingresos mínimos por mes</t>
  </si>
  <si>
    <t>Punto de equilibrio como % de Ingresos Reales</t>
  </si>
  <si>
    <t>&lt; 100% = negocio con margen positivo</t>
  </si>
  <si>
    <t xml:space="preserve">  4. PUNTO DE EQUILIBRIO EN HORAS Y OCUPACIÓN</t>
  </si>
  <si>
    <t xml:space="preserve">  Ingreso Promedio por Hora Disponible (S/)</t>
  </si>
  <si>
    <t>Revenue / Horas disponibles — NO confundir con ticket/persona (S/41.5)</t>
  </si>
  <si>
    <t xml:space="preserve">  Horas Disponibles Anuales</t>
  </si>
  <si>
    <t>Del Driver Operativo</t>
  </si>
  <si>
    <t xml:space="preserve">  ▶ Punto de equilibrio en HORAS DE USO ANUALES</t>
  </si>
  <si>
    <t>horas de pista necesarias público recreativo para punto de equilibrio</t>
  </si>
  <si>
    <t xml:space="preserve">  ▶ Punto de equilibrio en % OCUPACIÓN</t>
  </si>
  <si>
    <t>% ocupación mínimo para cubrir todos los costos</t>
  </si>
  <si>
    <t xml:space="preserve">     Ocupación Real 2025 (estimada)</t>
  </si>
  <si>
    <t>Promedio anual ocupación real estimada</t>
  </si>
  <si>
    <t xml:space="preserve">     GAP Ocupación (Real − Punto de equilibrio)</t>
  </si>
  <si>
    <t>Positivo = margen de seguridad sobre el break-even</t>
  </si>
  <si>
    <t xml:space="preserve">  5. ANÁLISIS DE SENSIBILIDAD — IMPACTO DE CAMBIOS EN PRECIO Y OCUPACIÓN</t>
  </si>
  <si>
    <t xml:space="preserve">  Variación del BE ante cambios en precio promedio/hora:</t>
  </si>
  <si>
    <t xml:space="preserve">    Precio -20%</t>
  </si>
  <si>
    <t>ocupación mínima para BE</t>
  </si>
  <si>
    <t xml:space="preserve">    Precio -10%</t>
  </si>
  <si>
    <t xml:space="preserve">    Precio +0%</t>
  </si>
  <si>
    <t xml:space="preserve">    Precio +10%</t>
  </si>
  <si>
    <t xml:space="preserve">    Precio +20%</t>
  </si>
  <si>
    <t xml:space="preserve">  6. PUNTO DE EQUILIBRIO POR PERSONA — ANÁLISIS DE TARIFAS (PRECIOS NETOS SIN IGV)</t>
  </si>
  <si>
    <t>PRODUCTO / TARIFA</t>
  </si>
  <si>
    <t>PRECIO NETO
S/IGV (S/)</t>
  </si>
  <si>
    <t>COSTO VAR.
POR PERSONA</t>
  </si>
  <si>
    <t>CONTRIBUCIÓN / PERSONA (S/)</t>
  </si>
  <si>
    <t>PERSONAS BE / AÑO</t>
  </si>
  <si>
    <t>PERSONAS BE / MES</t>
  </si>
  <si>
    <t>PERSONAS BE/DÍA
(30 días/mes)</t>
  </si>
  <si>
    <t xml:space="preserve">  Membresía Coach/mes</t>
  </si>
  <si>
    <t xml:space="preserve">  Membresía Deportistas/mes</t>
  </si>
  <si>
    <t xml:space="preserve">  7. COMPARATIVO: VISITAS REALES 2025 vs PUNTO DE EQUILIBRIO</t>
  </si>
  <si>
    <t>ANUAL</t>
  </si>
  <si>
    <t>MENSUAL PROM.</t>
  </si>
  <si>
    <t>DIARIO PROM.
(30 días)</t>
  </si>
  <si>
    <t>ESTADO</t>
  </si>
  <si>
    <t xml:space="preserve">  Visitas necesarias (BE mix real)</t>
  </si>
  <si>
    <t>Mínimo para cubrir costos</t>
  </si>
  <si>
    <t xml:space="preserve">  Visitas reales 2025</t>
  </si>
  <si>
    <t>Fuente: P&amp;L Gerencial 2025</t>
  </si>
  <si>
    <t xml:space="preserve">  Excedente / Déficit</t>
  </si>
  <si>
    <t xml:space="preserve">  8. BREAK-EVEN DIARIO POR FRANJA HORARIA — PERSONAS NECESARIAS POR HORA</t>
  </si>
  <si>
    <t>FRANJA / SUPUESTO</t>
  </si>
  <si>
    <t>HORAS DISP./DÍA</t>
  </si>
  <si>
    <t>PERSONAS BE/DÍA</t>
  </si>
  <si>
    <t>PERSONAS BE/HORA</t>
  </si>
  <si>
    <t>AFORO PISTA (40 pax)</t>
  </si>
  <si>
    <t>% USO AFORO NECESARIO</t>
  </si>
  <si>
    <t xml:space="preserve">  Promedio mensual (30 días/mes)</t>
  </si>
  <si>
    <t xml:space="preserve">  Día semana L/M (6.67 hrs público)</t>
  </si>
  <si>
    <t xml:space="preserve">  Día semana M/J (10 hrs público)</t>
  </si>
  <si>
    <t xml:space="preserve">  Fin de semana (11.5 hrs público)</t>
  </si>
  <si>
    <t>PERU ON ICE — SIMULADOR DE INGRESOS POR TARIFAS Y MIX DE PRODUCTOS</t>
  </si>
  <si>
    <t xml:space="preserve">  📋 BLOQUE 1: TARIFAS VIGENTES — PRECIOS POR PRODUCTO</t>
  </si>
  <si>
    <t>PRODUCTO / SERVICIO</t>
  </si>
  <si>
    <t>PRECIO
CON IGV (S/)</t>
  </si>
  <si>
    <t>IGV (S/)</t>
  </si>
  <si>
    <t>PRECIO NETO
SIN IGV (S/)</t>
  </si>
  <si>
    <t xml:space="preserve">  🆕 Nuevo Producto 1</t>
  </si>
  <si>
    <t xml:space="preserve">  🆕 Nuevo Producto 2</t>
  </si>
  <si>
    <t xml:space="preserve">  ⚙ TASA IGV</t>
  </si>
  <si>
    <t>← IGV 18% incluido en el precio al cliente</t>
  </si>
  <si>
    <t xml:space="preserve">  📊 BLOQUE 2: VOLUMEN MENSUAL (MES PROMEDIO)</t>
  </si>
  <si>
    <t>PRODUCTO</t>
  </si>
  <si>
    <t>CANTIDAD/MES
(editable)</t>
  </si>
  <si>
    <t>INGRESOS
/MES (S/)</t>
  </si>
  <si>
    <t>INGRESOS/AÑO</t>
  </si>
  <si>
    <t>% DEL TOTAL</t>
  </si>
  <si>
    <t>NOTA</t>
  </si>
  <si>
    <t>Calibrado de Feb 2025: 74% × 5,162 visitas → S/133,700</t>
  </si>
  <si>
    <t>Calibrado de Feb 2025: 26% × 5,162 visitas → S/80,520</t>
  </si>
  <si>
    <t>Estimado — actualizar con datos reales</t>
  </si>
  <si>
    <t>Nuevo producto — ingresa cantidad</t>
  </si>
  <si>
    <t xml:space="preserve">  TOTAL INGRESOS / MES</t>
  </si>
  <si>
    <t>100%</t>
  </si>
  <si>
    <t xml:space="preserve">  Ticket Promedio Ponderado (S/)</t>
  </si>
  <si>
    <t xml:space="preserve">  💰 BLOQUE 3: COSTOS Y EBITDA SIMULADO</t>
  </si>
  <si>
    <t>MENSUAL (S/)</t>
  </si>
  <si>
    <t>ANUAL (S/)</t>
  </si>
  <si>
    <t>% INGRESOS</t>
  </si>
  <si>
    <t>EDITABLE</t>
  </si>
  <si>
    <t>FUENTE</t>
  </si>
  <si>
    <t xml:space="preserve">  ( - ) Costos Variables (% ingresos)</t>
  </si>
  <si>
    <t>% ingresos</t>
  </si>
  <si>
    <t>Comis. tarjeta+ventas+marketing. Del P&amp;L 2025.</t>
  </si>
  <si>
    <t xml:space="preserve">     → Costos Variables S/</t>
  </si>
  <si>
    <t xml:space="preserve">  Margen de Contribución</t>
  </si>
  <si>
    <t xml:space="preserve">  ( - ) Costos Op. Hielo / mes</t>
  </si>
  <si>
    <t>S/</t>
  </si>
  <si>
    <t xml:space="preserve">  ( - ) Personal / mes</t>
  </si>
  <si>
    <t xml:space="preserve">  ( - ) Administrativo / mes</t>
  </si>
  <si>
    <t xml:space="preserve">  ( - ) Estructura (Alquiler+Servicios) / mes</t>
  </si>
  <si>
    <t xml:space="preserve">  Total Costos Fijos / mes</t>
  </si>
  <si>
    <t xml:space="preserve">  ★★ EBITDA MENSUAL SIMULADO</t>
  </si>
  <si>
    <t xml:space="preserve">  📈 BLOQUE 4: COMPARATIVO vs REAL 2025</t>
  </si>
  <si>
    <t>SIMULADO</t>
  </si>
  <si>
    <t>BASE 2025
(mensual prom.)</t>
  </si>
  <si>
    <t>DIFERENCIA (S/)</t>
  </si>
  <si>
    <t>MEJORA (%)</t>
  </si>
  <si>
    <t xml:space="preserve">  Ingresos Mensuales (S/)</t>
  </si>
  <si>
    <t xml:space="preserve">  EBITDA Anual (S/)</t>
  </si>
  <si>
    <t xml:space="preserve">  Margen EBITDA (%)</t>
  </si>
  <si>
    <t xml:space="preserve">  🔍 BLOQUE 5: IMPACTO MARGINAL DE CADA PRODUCTO</t>
  </si>
  <si>
    <t>SI AGREGO…</t>
  </si>
  <si>
    <t>CANT./MES</t>
  </si>
  <si>
    <t>ING. ADICIONAL/MES</t>
  </si>
  <si>
    <t>EBITDA ADICIONAL/MES</t>
  </si>
  <si>
    <t>% MARGEN</t>
  </si>
  <si>
    <t>ANÁLISIS</t>
  </si>
  <si>
    <t>EBITDA marginal = 100% menos CV</t>
  </si>
  <si>
    <t xml:space="preserve">  5 nuevas membresías Coach</t>
  </si>
  <si>
    <t xml:space="preserve">  10 nuevas membresías Deportistas</t>
  </si>
  <si>
    <t xml:space="preserve">  20 usos Salón Off-Ice/mes</t>
  </si>
  <si>
    <t>PERU ON ICE S.A.C. — ESTRATEGIA DE PRECIOS Y HOJA DE RUTA HACIA EL 30% DE MARGEN EBITDA</t>
  </si>
  <si>
    <t xml:space="preserve">  Diagnóstico 2025 | Propuesta tarifaria 2026 | Palancas de mejora | Metas por línea del P&amp;L  |  Moneda: S/ sin IGV</t>
  </si>
  <si>
    <t>MARGEN EBITDA 2025</t>
  </si>
  <si>
    <t>EBITDA 2025 (S/)</t>
  </si>
  <si>
    <t>GAP A CERRAR</t>
  </si>
  <si>
    <t>VISITAS/DÍA 2025</t>
  </si>
  <si>
    <t>OCUP. ACTUAL</t>
  </si>
  <si>
    <t>Actual — objetivo: 30%</t>
  </si>
  <si>
    <t>vs target S/600,853</t>
  </si>
  <si>
    <t>Revenue adicional necesario</t>
  </si>
  <si>
    <t>Target: 180+ visitas/día</t>
  </si>
  <si>
    <t>Target: 35%+ en horario pico</t>
  </si>
  <si>
    <t xml:space="preserve">  ▌ BLOQUE 1 — NUEVA ESTRUCTURA DE TARIFAS PROPUESTAS</t>
  </si>
  <si>
    <t>CATEGORÍA</t>
  </si>
  <si>
    <t>SERVICIO / DESCRIPCIÓN</t>
  </si>
  <si>
    <t>MIN</t>
  </si>
  <si>
    <t>PRECIO c/IGV</t>
  </si>
  <si>
    <t>IGV (18%)</t>
  </si>
  <si>
    <t>PRECIO NETO s/IGV</t>
  </si>
  <si>
    <t>PRECIO ANT. s/IGV</t>
  </si>
  <si>
    <t>VARIACIÓN</t>
  </si>
  <si>
    <t>MEMBRESÍA c/IGV</t>
  </si>
  <si>
    <t>MBR NETO s/IGV</t>
  </si>
  <si>
    <t>TIPO / OBSERVACIÓN</t>
  </si>
  <si>
    <t xml:space="preserve">  PÚBLICO GENERAL</t>
  </si>
  <si>
    <t xml:space="preserve">  Entrada estándar</t>
  </si>
  <si>
    <t>25</t>
  </si>
  <si>
    <t>—</t>
  </si>
  <si>
    <t>Tarifa principal — turno 25 min en pista</t>
  </si>
  <si>
    <t xml:space="preserve">  Entrada extendida</t>
  </si>
  <si>
    <t>55</t>
  </si>
  <si>
    <t>Turno 55 min en pista</t>
  </si>
  <si>
    <t xml:space="preserve">  Full Day</t>
  </si>
  <si>
    <t>🆕 NUEVO</t>
  </si>
  <si>
    <t>Acceso todo el día (horario público)</t>
  </si>
  <si>
    <t xml:space="preserve">  FREE PRACTICE</t>
  </si>
  <si>
    <t xml:space="preserve">  5AM – 9AM</t>
  </si>
  <si>
    <t>60</t>
  </si>
  <si>
    <t>Entrenamiento libre madrugada, 1 hr</t>
  </si>
  <si>
    <t xml:space="preserve">  CLUBES</t>
  </si>
  <si>
    <t xml:space="preserve">  Solo horario de clases</t>
  </si>
  <si>
    <t>Membresía mensual</t>
  </si>
  <si>
    <t xml:space="preserve">  OFF ICE – CLUBES</t>
  </si>
  <si>
    <t xml:space="preserve">  Horario de clases x hora</t>
  </si>
  <si>
    <t>Uso salón Off-Ice durante clases</t>
  </si>
  <si>
    <t xml:space="preserve">  COACHES</t>
  </si>
  <si>
    <t xml:space="preserve">  Clases particulares x hora</t>
  </si>
  <si>
    <t xml:space="preserve">  SOLO ENTRENAMIENTO</t>
  </si>
  <si>
    <t xml:space="preserve">  Coach 5AM – 9AM</t>
  </si>
  <si>
    <t xml:space="preserve">  OFF ICE</t>
  </si>
  <si>
    <t xml:space="preserve">  Clase x hora</t>
  </si>
  <si>
    <t>Salón Off-Ice sin pista</t>
  </si>
  <si>
    <t xml:space="preserve">  PACKS CLASES</t>
  </si>
  <si>
    <t xml:space="preserve">  Pack 600 min particulares</t>
  </si>
  <si>
    <t>600</t>
  </si>
  <si>
    <t>10 hrs de clases particulares</t>
  </si>
  <si>
    <t xml:space="preserve">  Pack 1200 min particulares</t>
  </si>
  <si>
    <t>1200</t>
  </si>
  <si>
    <t>20 hrs de clases particulares — mayor volumen</t>
  </si>
  <si>
    <t xml:space="preserve">  CLASES CLUB POI</t>
  </si>
  <si>
    <t xml:space="preserve">  Pack 240 min</t>
  </si>
  <si>
    <t>240</t>
  </si>
  <si>
    <t>4 hrs clases Club POI</t>
  </si>
  <si>
    <t xml:space="preserve">  Pack 480 min</t>
  </si>
  <si>
    <t>480</t>
  </si>
  <si>
    <t>8 hrs clases Club POI</t>
  </si>
  <si>
    <t xml:space="preserve">  SOCIAL</t>
  </si>
  <si>
    <t xml:space="preserve">  CONADIS</t>
  </si>
  <si>
    <t>GRATIS</t>
  </si>
  <si>
    <t>Acceso gratuito — responsabilidad social</t>
  </si>
  <si>
    <t xml:space="preserve">  Cumpleañero acompañado</t>
  </si>
  <si>
    <t>Gratuito si viene con grupo — genera visitas pagadas</t>
  </si>
  <si>
    <t xml:space="preserve">  ▌ BLOQUE 2 — SIMULACIÓN DE INGRESOS MENSUALES CON NUEVAS TARIFAS</t>
  </si>
  <si>
    <t>SERVICIO</t>
  </si>
  <si>
    <t>PRECIO NETO (S/)</t>
  </si>
  <si>
    <t>VOLUMEN/MES
(editable)</t>
  </si>
  <si>
    <t>INGRESO/MES (S/)</t>
  </si>
  <si>
    <t>INGRESO/AÑO (S/)</t>
  </si>
  <si>
    <t>CV (5.3%)</t>
  </si>
  <si>
    <t>CONTRIBUCIÓN/MES</t>
  </si>
  <si>
    <t>Entrada estándar</t>
  </si>
  <si>
    <t>Base: -15% volumen vs 2025, +14% precio → mayor ticket unitario</t>
  </si>
  <si>
    <t>Entrada extendida</t>
  </si>
  <si>
    <t>Base conservadora ajustada</t>
  </si>
  <si>
    <t>Full Day</t>
  </si>
  <si>
    <t>Nuevo producto — alta elasticidad en temporada alta</t>
  </si>
  <si>
    <t>5AM – 9AM</t>
  </si>
  <si>
    <t>Nuevo segmento: atletas y entusiastas tempranos</t>
  </si>
  <si>
    <t>Solo horario de clases</t>
  </si>
  <si>
    <t>Membresía actual mantenida — base de ingresos recurrentes</t>
  </si>
  <si>
    <t>Horario de clases x hora</t>
  </si>
  <si>
    <t>Nuevo: monetiza el espacio fuera del hielo</t>
  </si>
  <si>
    <t>Clases particulares x hora</t>
  </si>
  <si>
    <t>Nuevo: clases privadas son el mayor margen por hora</t>
  </si>
  <si>
    <t>Coach 5AM – 9AM</t>
  </si>
  <si>
    <t>Nuevo: acceso premium madrugada</t>
  </si>
  <si>
    <t>Clase x hora</t>
  </si>
  <si>
    <t>Nuevo: Off-Ice sin pista = costo marginal casi cero</t>
  </si>
  <si>
    <t>Pack 600 min particulares</t>
  </si>
  <si>
    <t>Nuevo: pack de horas — genera ingreso anticipado</t>
  </si>
  <si>
    <t>Pack 1200 min particulares</t>
  </si>
  <si>
    <t>Nuevo: máximo descuento por volumen alto</t>
  </si>
  <si>
    <t>Pack 240 min</t>
  </si>
  <si>
    <t>Nuevo: Club POI — base de fans</t>
  </si>
  <si>
    <t>Pack 480 min</t>
  </si>
  <si>
    <t>Nuevo: pack POI — compromiso largo plazo</t>
  </si>
  <si>
    <t>CONADIS</t>
  </si>
  <si>
    <t>Responsabilidad social — sin impacto en margen</t>
  </si>
  <si>
    <t>Cumpleañero acompañado</t>
  </si>
  <si>
    <t>Generador de visitas pagadas del grupo acompañante</t>
  </si>
  <si>
    <t xml:space="preserve">  ▌ BLOQUE 3 — MODELO DE RENTABILIDAD: CAMINO AL 30% DE MARGEN EBITDA</t>
  </si>
  <si>
    <t>ACTUAL 2025</t>
  </si>
  <si>
    <t>NUEVO TARIF.
(sin ajuste CF)</t>
  </si>
  <si>
    <t>NUEVO TARIF.
+ AJUSTE CF</t>
  </si>
  <si>
    <t>META 30%
(referencia)</t>
  </si>
  <si>
    <t>OBSERVACIÓN</t>
  </si>
  <si>
    <t>Ingresos por mes</t>
  </si>
  <si>
    <t xml:space="preserve">  Ingresos Anuales (S/)</t>
  </si>
  <si>
    <t>2025 real vs proyección nuevas tarifas</t>
  </si>
  <si>
    <t xml:space="preserve">  Costos Fijos Totales (S/)</t>
  </si>
  <si>
    <t>Actual: S/1,731,472 | Propuesta: reducir S/120K (ver Bloque 4)</t>
  </si>
  <si>
    <t xml:space="preserve">  Costos Variables (5.3%)</t>
  </si>
  <si>
    <t>Comisiones tarjeta y ventas proporcionales</t>
  </si>
  <si>
    <t>Resultado operativo antes de depreciación y financiero</t>
  </si>
  <si>
    <t>2025: 8.3% | Con solo tarifas: ¿suficiente? | Con CF ajustado: ¿llega?</t>
  </si>
  <si>
    <t xml:space="preserve">  Visitas mensuales necesarias</t>
  </si>
  <si>
    <t>Estimado en base a ticket promedio propuesto</t>
  </si>
  <si>
    <t xml:space="preserve">  ▌ BLOQUE 4 — RECOMENDACIONES ACCIONABLES: AJUSTES EN LÍNEAS DEL P&amp;L</t>
  </si>
  <si>
    <t>LÍNEA P&amp;L / CUENTA</t>
  </si>
  <si>
    <t>VALOR 2025 (S/)</t>
  </si>
  <si>
    <t>ACCIÓN PROPUESTA</t>
  </si>
  <si>
    <t>AHORRO / IMPACTO EST.</t>
  </si>
  <si>
    <t>PRIORIDAD</t>
  </si>
  <si>
    <t>RESPONSABLE / PLAZO</t>
  </si>
  <si>
    <t>DETALLE</t>
  </si>
  <si>
    <t>▲ Ahorro potencial: S/100,000–150,000/año si se vincula a % revenue</t>
  </si>
  <si>
    <t>🔴 CRÍTICA</t>
  </si>
  <si>
    <t>Gerente General | Q2 2026</t>
  </si>
  <si>
    <t>Es el costo más alto: 29.1% de ingresos. Cláusula actual: fija. Meta: piso S/40K + 20% sobre exceso → en meses bajos reduce exposición</t>
  </si>
  <si>
    <t>▲ Ahorro 15-20%: S/35,000–48,000/año en consumo operativo</t>
  </si>
  <si>
    <t>El chiller es 24/7 (costo fijo de refrigeración), pero iluminación, bombas secundarias y HVAC son controlables. ROI de inversión: 12-18 meses</t>
  </si>
  <si>
    <t>Evaluar compra del equipo vs. arrendamiento. A S/209K/año, en 5-7 años se paga solo con deuda bancaria a 8%</t>
  </si>
  <si>
    <t>▲ Ahorro neto potencial: S/80,000–120,000/año vs. costo actual de arrendamiento</t>
  </si>
  <si>
    <t>🟠 ALTA</t>
  </si>
  <si>
    <t>Financiamiento de equipo nuevo (aprox. USD 80K-120K) vs. S/209K/año en arriendo. Payback ~5 años. Reduce CF fijo significativamente</t>
  </si>
  <si>
    <t>▲ Optimización 10%: S/28,000/año sin reducir planilla — reasignando turnos</t>
  </si>
  <si>
    <t>Análisis de ocupación muestra que L/M tienen solo 6.7 hrs públicas vs 11.5 hrs en fin de semana. Turnos deben alinearse a demanda real</t>
  </si>
  <si>
    <t>▲ Reducción potencial 8-12%: S/41,000–62,000/año</t>
  </si>
  <si>
    <t>🟡 MEDIA</t>
  </si>
  <si>
    <t>Carga laboral total (gratificaciones, CTS, EsSalud) = 85% adicional sobre sueldo base. Roles de servicios esporádicos pueden ser recategorizados</t>
  </si>
  <si>
    <t>Negociar POS con tasa &lt; 1.5%. Incentivar Yape/Plin/transferencia con descuento del 3% (menor que la comisión actual)</t>
  </si>
  <si>
    <t>▲ Ahorro S/12,000–15,000/año si se reduce de 2.1% a 1.5% efectivo</t>
  </si>
  <si>
    <t>CFO + Administración | Q1 2026</t>
  </si>
  <si>
    <t>▲ Control del gasto + alineación incentivos al crecimiento real</t>
  </si>
  <si>
    <t>Gerente Comercial | Q1 2026</t>
  </si>
  <si>
    <t>Comisión de ventas debe ser variable puro. Eventos: cobrar tarifa mínima de producción a clientes corporativos para cubrir costo de servicio</t>
  </si>
  <si>
    <t>Evaluar si el nivel de servicio justifica S/24,000/año (S/2,000/mes). Licitar con 2-3 estudios contables comparando</t>
  </si>
  <si>
    <t>▲ Posible ahorro S/6,000–9,600/año si se optimiza contrato</t>
  </si>
  <si>
    <t>🟢 BAJA</t>
  </si>
  <si>
    <t>S/2,000/mes es precio de mercado para empresas medianas. Verificar scope del servicio actual vs. lo que realmente se usa</t>
  </si>
  <si>
    <t>▲ Ahorro S/4,500/año + mejora en control de ventas y reservas online</t>
  </si>
  <si>
    <t>Ver detalle</t>
  </si>
  <si>
    <t>▲ Ingreso adicional estimado: S/80,000–120,000/año en los primeros 12 meses</t>
  </si>
  <si>
    <t>▲ 2 grupos/semana de 15 personas × S/40 = S/52,000/año adicional</t>
  </si>
  <si>
    <t xml:space="preserve">  ▌ BLOQUE 5 — RESUMEN EJECUTIVO: IMPACTO COMBINADO DE LAS MEDIDAS</t>
  </si>
  <si>
    <t>PALANCA</t>
  </si>
  <si>
    <t>IMPACTO EBITDA EST. (S/)</t>
  </si>
  <si>
    <t>TIPO</t>
  </si>
  <si>
    <t>PLAZO</t>
  </si>
  <si>
    <t>COMENTARIO</t>
  </si>
  <si>
    <t>1. Nuevos precios (E.25 S/40, E.55 S/65)</t>
  </si>
  <si>
    <t>+ S/48,000–72,000/año</t>
  </si>
  <si>
    <t>Ingresos</t>
  </si>
  <si>
    <t>Q1 2026</t>
  </si>
  <si>
    <t>Solo con el volumen actual 2025 — sin incrementar visitas</t>
  </si>
  <si>
    <t>2. Nuevos productos (Full Day, Free Practice, Packs, Off-Ice)</t>
  </si>
  <si>
    <t>+ S/80,000–120,000/año</t>
  </si>
  <si>
    <t>Q1-Q2 2026</t>
  </si>
  <si>
    <t>3. Renegociación Alquiler Local</t>
  </si>
  <si>
    <t>+ S/100,000–150,000/año</t>
  </si>
  <si>
    <t>Costos Fijos</t>
  </si>
  <si>
    <t>Q2 2026</t>
  </si>
  <si>
    <t>Requiere negociación: proponer renta variable con piso</t>
  </si>
  <si>
    <t>4. Eficiencia energética</t>
  </si>
  <si>
    <t>+ S/35,000–48,000/año</t>
  </si>
  <si>
    <t>5. Evaluación compra Chiller</t>
  </si>
  <si>
    <t>Q3 2026</t>
  </si>
  <si>
    <t>Inversión de mediano plazo — requiere financiamiento</t>
  </si>
  <si>
    <t>+ S/28,000–41,000/año</t>
  </si>
  <si>
    <t>7. Activar horario valle (MAR-JUE)</t>
  </si>
  <si>
    <t>+ S/52,000–78,000/año</t>
  </si>
  <si>
    <t>Grupos, escuelas, corporativos — margen incremental ~95%</t>
  </si>
  <si>
    <t>★ IMPACTO TOTAL ESTIMADO (escenario conservador)</t>
  </si>
  <si>
    <t>+ S/423,000–579,000/año</t>
  </si>
  <si>
    <t>EBITDA 2025: S/165,673 (8.3%)</t>
  </si>
  <si>
    <t>EBITDA META: S/589,000+ (29%+)</t>
  </si>
  <si>
    <t>PERU ON ICE S.A.C. — DASHBOARD FINANCIERO 2025</t>
  </si>
  <si>
    <t>Análisis Visual | Ingresos | EBITDA | Márgenes | Ocupación | Costos por Hora</t>
  </si>
  <si>
    <t>INGRESOS 2025</t>
  </si>
  <si>
    <t>EBITDA 2025</t>
  </si>
  <si>
    <t>MARGEN EBITDA</t>
  </si>
  <si>
    <t>RESULTADO NETO</t>
  </si>
  <si>
    <t>S/ 2.00M</t>
  </si>
  <si>
    <t>S/ 165.7K</t>
  </si>
  <si>
    <t>8.3%</t>
  </si>
  <si>
    <t>26% ING.</t>
  </si>
  <si>
    <t>S/ 134.7K</t>
  </si>
  <si>
    <t>Mes</t>
  </si>
  <si>
    <t>Ingresos (S/)</t>
  </si>
  <si>
    <t>EBITDA (S/)</t>
  </si>
  <si>
    <t>Costo Op. Hielo</t>
  </si>
  <si>
    <t>Personal</t>
  </si>
  <si>
    <t>% Margen EBITDA</t>
  </si>
  <si>
    <t>CUENTA</t>
  </si>
  <si>
    <t>Servicios-Local-Terceros</t>
  </si>
  <si>
    <t>Diferencia en cambio</t>
  </si>
  <si>
    <t>Diferencia de Redondeo</t>
  </si>
  <si>
    <t>Sueldos y salarios</t>
  </si>
  <si>
    <t>Asignacion Familiar</t>
  </si>
  <si>
    <t>Rem. Vacacional</t>
  </si>
  <si>
    <t>Rem. por Feriado</t>
  </si>
  <si>
    <t>Movilidad</t>
  </si>
  <si>
    <t>Rem. Vacacional Truncas</t>
  </si>
  <si>
    <t>Bonificacion</t>
  </si>
  <si>
    <t>Bonificacion Regular</t>
  </si>
  <si>
    <t>Otras remuneraciones</t>
  </si>
  <si>
    <t>Capacitacion</t>
  </si>
  <si>
    <t>Atencion al personal</t>
  </si>
  <si>
    <t>Transporte de carga</t>
  </si>
  <si>
    <t>Transporte pasajeros</t>
  </si>
  <si>
    <t>Alimentacion</t>
  </si>
  <si>
    <t>Asesoria Administrativa</t>
  </si>
  <si>
    <t>Asesoria Legal/Tributaria</t>
  </si>
  <si>
    <t>Auditoria y contable</t>
  </si>
  <si>
    <t>Otros Servicios Asesoria</t>
  </si>
  <si>
    <t>Mant. Prop/Planta/Eq.</t>
  </si>
  <si>
    <t>Alquiler Chiller</t>
  </si>
  <si>
    <t>Alquiler Local</t>
  </si>
  <si>
    <t>Alquiler Equipos</t>
  </si>
  <si>
    <t>Energia electrica</t>
  </si>
  <si>
    <t>Internet</t>
  </si>
  <si>
    <t>Publicidad</t>
  </si>
  <si>
    <t>Servicios de monitoreo</t>
  </si>
  <si>
    <t>Servicio informaticos</t>
  </si>
  <si>
    <t>Servicio operador</t>
  </si>
  <si>
    <t>Servicios de sistemas</t>
  </si>
  <si>
    <t>Soporte tecnico</t>
  </si>
  <si>
    <t>Servicios de diseno</t>
  </si>
  <si>
    <t>Creacion de Contenido</t>
  </si>
  <si>
    <t>Servicio de Evento</t>
  </si>
  <si>
    <t>Comision Ventas</t>
  </si>
  <si>
    <t>Servicio Patinaje</t>
  </si>
  <si>
    <t>Servicio Topico</t>
  </si>
  <si>
    <t>Gastos bancarios</t>
  </si>
  <si>
    <t>Arbitrios municipales</t>
  </si>
  <si>
    <t>Intereses deuda tributaria</t>
  </si>
  <si>
    <t>6551400</t>
  </si>
  <si>
    <t>Costo Enajenacion Activos</t>
  </si>
  <si>
    <t>Suministros</t>
  </si>
  <si>
    <t>Utiles de Oficina</t>
  </si>
  <si>
    <t>Utiles de Aseo</t>
  </si>
  <si>
    <t>Articulos Ferreteria</t>
  </si>
  <si>
    <t>Gastos Registro Publico</t>
  </si>
  <si>
    <t>Botiquin</t>
  </si>
  <si>
    <t>Comision Tarjeta</t>
  </si>
  <si>
    <t>Gastos de Representacion</t>
  </si>
  <si>
    <t>Diferencia de cambio</t>
  </si>
  <si>
    <t>Diferencia por redondeo</t>
  </si>
  <si>
    <t>Dep. Muebles</t>
  </si>
  <si>
    <t>Dep. Equipos diversos</t>
  </si>
  <si>
    <t>Dep. Equipos Informaticos</t>
  </si>
  <si>
    <t xml:space="preserve">  ★ Mix Real — Ticket Neto S/IGV (P&amp;L ya excluye IGV)</t>
  </si>
  <si>
    <t xml:space="preserve">  10 entradas 25min/día (+300/mes)</t>
  </si>
  <si>
    <t xml:space="preserve">  10 entradas 55min/día (+300/mes)</t>
  </si>
  <si>
    <t>Reducir personal — reasignación de ROL a demanda</t>
  </si>
  <si>
    <t>Establecer horarios de apagado de luces y bajar la temperatura del equipo en horas de desuso</t>
  </si>
  <si>
    <t>Costo marginal - cero: pista congelada, personal ya pagado</t>
  </si>
  <si>
    <t>Con implementación de las 7 palancas (A71) simultáneas en 2026</t>
  </si>
  <si>
    <t>Área Comercial + Marketing | Inmediato</t>
  </si>
  <si>
    <t>Los meses JUN, SET, OCT, NOV son negativos. La pista está operativa 24/7, el personal ya está pagado. Cada ingreso adicional es casi 100% margen incremental</t>
  </si>
  <si>
    <t>Full Day, Free Practice madrugada, Packs Clases y Club POI son productos con costo marginal casi cero (pista operando). Cada S/1 adicional va 94.7% a EBITDA</t>
  </si>
  <si>
    <t xml:space="preserve">  D. EVENTOS Y COMISIONES VENTAS
</t>
  </si>
  <si>
    <t xml:space="preserve">  D. COMISIÓN TARJETA
</t>
  </si>
  <si>
    <t xml:space="preserve">  C. TOTAL PERSONAL </t>
  </si>
  <si>
    <t xml:space="preserve">  E. AUDITORÍA Y CONTABLE</t>
  </si>
  <si>
    <t xml:space="preserve">  F. SERVICIOS INFORMÁTICOS/SISTEMAS</t>
  </si>
  <si>
    <t xml:space="preserve">  INGRESOS — NUEVOS PRODUCTOS
</t>
  </si>
  <si>
    <t xml:space="preserve">  OCUPACIÓN — HORARIO VALLE</t>
  </si>
  <si>
    <t xml:space="preserve">  C. SUELDOS Y SALARIOS
  </t>
  </si>
  <si>
    <t xml:space="preserve">  B. ENERGÍA ELÉCTRICA
 </t>
  </si>
  <si>
    <t xml:space="preserve">  F. ALQUILER LOCAL
</t>
  </si>
  <si>
    <t>Renegociar contrato — proponer renta variable ligada al % de ventas (20% de ventas con piso S/40,000/mes)</t>
  </si>
  <si>
    <t>Auditoría energética: Implementacion Fire it up, iluminación LED, tarifa BT3 fuera de punta</t>
  </si>
  <si>
    <t xml:space="preserve">  B. CHILLER
</t>
  </si>
  <si>
    <t>CHILLER</t>
  </si>
  <si>
    <t xml:space="preserve"> Fuente: P&amp;L 2026 original + proyección +7% sobre 2025</t>
  </si>
  <si>
    <t>PERU ON ICE — BASE DE DATOS P&amp;L 2026 (PRESUPUESTO ENE-DIC)</t>
  </si>
  <si>
    <t>Gerente de sede -Operaciones | Q1 2026</t>
  </si>
  <si>
    <t>Gerente Gral | Q3 2026</t>
  </si>
  <si>
    <t>Implementar scheduling por demanda: reducir HH en días de semana con baja afluencia (MAR-JUE tarde), reforzar fines de semana y feriados. (Analizar demanda con nuevo sistema de facturación)</t>
  </si>
  <si>
    <t>Revisar estructura de contratos: evaluar modalidad prestación de servicios para roles no esenciales (marketing, Ssoma, Legal, Tópico)</t>
  </si>
  <si>
    <t>Gerente Sede + Asesoria laboral | Q2 2026</t>
  </si>
  <si>
    <t>Gerente de Sede | Q1 2026</t>
  </si>
  <si>
    <t>Comisión actual ~2.1% sobre ventas. Mercado ofrece 1.2-1.5% para volumes &gt;S/100K/mes. Evaluar otros proveedores</t>
  </si>
  <si>
    <t>Estructurar programa de comisiones solo sobre ventas incrementales. Definir KPIs claros</t>
  </si>
  <si>
    <t>Consolidó S/6,500 en sistemas + S/1,050 en informáticos en un solo contrato SaaS de gestión para este 2026</t>
  </si>
  <si>
    <t>Gerente Gral - Junta de Accionistas | Q2 2026</t>
  </si>
  <si>
    <t>Implementar sistema de gestión que centralice reservas, membresías y POS. Reduce trabajo manual y mejora datos</t>
  </si>
  <si>
    <t>Activar TODOS los nuevos productos (Off-Ice, Free Practice, Packs, Club POI) con campaña de lanzamiento en Q2 2026</t>
  </si>
  <si>
    <t>MAR-JUE 10AM-4PM: continuar con los programas especiales (escuelas, empresas, grupos). Solo 12-15 personas/hora adicionales cierra el gap al 30%</t>
  </si>
  <si>
    <t xml:space="preserve">6. Optimización planilla </t>
  </si>
  <si>
    <t>Punto de quilibrio Mensual (S/)</t>
  </si>
  <si>
    <t>Del P&amp;L 2025 anual / 12 meses</t>
  </si>
  <si>
    <t xml:space="preserve">Ppto 2026 = Proyectado ENE-DIC </t>
  </si>
  <si>
    <t>Todos los cálculos se actualizan automáticamente con los datos del P&amp;L Gerencial e Indicadores Operativos</t>
  </si>
  <si>
    <t>Costo Total por Hora Disponible (S/)</t>
  </si>
  <si>
    <t>Ingreso por Hora Disponible (S/)</t>
  </si>
  <si>
    <t xml:space="preserve"> % Ocupación de Pista</t>
  </si>
  <si>
    <t xml:space="preserve">Margen   S/ </t>
  </si>
  <si>
    <t>Margen %</t>
  </si>
  <si>
    <t>Positivo = sobre el BE (Punto de equilibrio)</t>
  </si>
  <si>
    <t xml:space="preserve">  📌 INTERPRETACIÓN: Todos los precios son NETOS sin IGV (el cliente paga con IGV incluido). La tasa IGV se configura en Simulador celda B13 (actualmente 18%). El Mix Real refleja el ticket neto promedio de febrero 2025 (P&amp;L ya está sin IGV). Si se cambia tarifas en el Simulador, esta sección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</si>
</sst>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\-"/>
    <numFmt numFmtId="165" formatCode="0.0%;\(0.0%\);\−"/>
    <numFmt numFmtId="166" formatCode="&quot;S/ &quot;#,##0"/>
    <numFmt numFmtId="167" formatCode="0.0%;\(0.0%\);\-"/>
    <numFmt numFmtId="168" formatCode="#,##0.0;\(#,##0.0\);\-"/>
    <numFmt numFmtId="169" formatCode="0.000"/>
    <numFmt numFmtId="170" formatCode="#,##0.0"/>
    <numFmt numFmtId="171" formatCode="#,##0.00;\(#,##0.00\);\-"/>
    <numFmt numFmtId="172" formatCode="0.0%"/>
    <numFmt numFmtId="173" formatCode="&quot;S/&quot;\ #,##0"/>
  </numFmts>
  <fonts count="138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sz val="8"/>
      <color rgb="FFF0F0F0"/>
      <name val="Calibri"/>
      <family val="2"/>
    </font>
    <font>
      <b/>
      <sz val="9.5"/>
      <color rgb="FFFFFFFF"/>
      <name val="Calibri"/>
      <family val="2"/>
    </font>
    <font>
      <b/>
      <sz val="9"/>
      <color rgb="FFFFFFFF"/>
      <name val="Calibri"/>
      <family val="2"/>
    </font>
    <font>
      <b/>
      <sz val="10.5"/>
      <color rgb="FFFFFFFF"/>
      <name val="Calibri"/>
      <family val="2"/>
    </font>
    <font>
      <sz val="9.5"/>
      <color rgb="FF424242"/>
      <name val="Calibri"/>
      <family val="2"/>
    </font>
    <font>
      <sz val="8"/>
      <color rgb="FF757575"/>
      <name val="Calibri"/>
      <family val="2"/>
    </font>
    <font>
      <sz val="9.5"/>
      <color rgb="FF1A237E"/>
      <name val="Calibri"/>
      <family val="2"/>
    </font>
    <font>
      <sz val="9.5"/>
      <color rgb="FF000000"/>
      <name val="Calibri"/>
      <family val="2"/>
    </font>
    <font>
      <i/>
      <sz val="8.5"/>
      <color rgb="FF757575"/>
      <name val="Calibri"/>
      <family val="2"/>
    </font>
    <font>
      <i/>
      <sz val="8.5"/>
      <color rgb="FF1B5E20"/>
      <name val="Calibri"/>
      <family val="2"/>
    </font>
    <font>
      <b/>
      <sz val="10"/>
      <color rgb="FFFFFFFF"/>
      <name val="Calibri"/>
      <family val="2"/>
    </font>
    <font>
      <sz val="8.5"/>
      <color rgb="FF757575"/>
      <name val="Calibri"/>
      <family val="2"/>
    </font>
    <font>
      <b/>
      <sz val="10"/>
      <color rgb="FFE65100"/>
      <name val="Calibri"/>
      <family val="2"/>
    </font>
    <font>
      <b/>
      <sz val="9.5"/>
      <color rgb="FFE65100"/>
      <name val="Calibri"/>
      <family val="2"/>
    </font>
    <font>
      <b/>
      <sz val="9"/>
      <color rgb="FFE65100"/>
      <name val="Calibri"/>
      <family val="2"/>
    </font>
    <font>
      <b/>
      <sz val="11"/>
      <color rgb="FF00695C"/>
      <name val="Calibri"/>
      <family val="2"/>
    </font>
    <font>
      <b/>
      <sz val="10"/>
      <color rgb="FF00695C"/>
      <name val="Calibri"/>
      <family val="2"/>
    </font>
    <font>
      <b/>
      <sz val="9"/>
      <color rgb="FF757575"/>
      <name val="Calibri"/>
      <family val="2"/>
    </font>
    <font>
      <b/>
      <sz val="10"/>
      <color rgb="FF1565C0"/>
      <name val="Calibri"/>
      <family val="2"/>
    </font>
    <font>
      <b/>
      <sz val="9.5"/>
      <color rgb="FF1565C0"/>
      <name val="Calibri"/>
      <family val="2"/>
    </font>
    <font>
      <b/>
      <sz val="9"/>
      <color rgb="FF1565C0"/>
      <name val="Calibri"/>
      <family val="2"/>
    </font>
    <font>
      <b/>
      <sz val="10"/>
      <color rgb="FF4527A0"/>
      <name val="Calibri"/>
      <family val="2"/>
    </font>
    <font>
      <b/>
      <sz val="9.5"/>
      <color rgb="FF4527A0"/>
      <name val="Calibri"/>
      <family val="2"/>
    </font>
    <font>
      <b/>
      <sz val="9"/>
      <color rgb="FF4527A0"/>
      <name val="Calibri"/>
      <family val="2"/>
    </font>
    <font>
      <b/>
      <sz val="10"/>
      <color rgb="FF424242"/>
      <name val="Calibri"/>
      <family val="2"/>
    </font>
    <font>
      <b/>
      <sz val="9.5"/>
      <color rgb="FF424242"/>
      <name val="Calibri"/>
      <family val="2"/>
    </font>
    <font>
      <b/>
      <sz val="9"/>
      <color rgb="FF424242"/>
      <name val="Calibri"/>
      <family val="2"/>
    </font>
    <font>
      <b/>
      <sz val="10"/>
      <color rgb="FF0D2B55"/>
      <name val="Calibri"/>
      <family val="2"/>
    </font>
    <font>
      <b/>
      <sz val="9.5"/>
      <color rgb="FF0D2B55"/>
      <name val="Calibri"/>
      <family val="2"/>
    </font>
    <font>
      <b/>
      <sz val="9"/>
      <color rgb="FF0D2B55"/>
      <name val="Calibri"/>
      <family val="2"/>
    </font>
    <font>
      <b/>
      <sz val="11"/>
      <color rgb="FFFFFFFF"/>
      <name val="Calibri"/>
      <family val="2"/>
    </font>
    <font>
      <i/>
      <sz val="8.5"/>
      <color rgb="FF2E7D32"/>
      <name val="Calibri"/>
      <family val="2"/>
    </font>
    <font>
      <sz val="8.5"/>
      <color rgb="FF2E7D32"/>
      <name val="Calibri"/>
      <family val="2"/>
    </font>
    <font>
      <b/>
      <sz val="9"/>
      <color rgb="FF2E7D32"/>
      <name val="Calibri"/>
      <family val="2"/>
    </font>
    <font>
      <b/>
      <sz val="10"/>
      <color rgb="FF757575"/>
      <name val="Calibri"/>
      <family val="2"/>
    </font>
    <font>
      <b/>
      <sz val="9.5"/>
      <color rgb="FF757575"/>
      <name val="Calibri"/>
      <family val="2"/>
    </font>
    <font>
      <b/>
      <sz val="11"/>
      <color rgb="FF0D2B55"/>
      <name val="Calibri"/>
      <family val="2"/>
    </font>
    <font>
      <b/>
      <sz val="10.5"/>
      <color rgb="FF0D2B55"/>
      <name val="Calibri"/>
      <family val="2"/>
    </font>
    <font>
      <b/>
      <sz val="10"/>
      <color rgb="FF2E7D32"/>
      <name val="Calibri"/>
      <family val="2"/>
    </font>
    <font>
      <b/>
      <sz val="9.5"/>
      <color rgb="FF2E7D32"/>
      <name val="Calibri"/>
      <family val="2"/>
    </font>
    <font>
      <b/>
      <sz val="13"/>
      <color rgb="FFFFFFFF"/>
      <name val="Calibri"/>
      <family val="2"/>
      <charset val="1"/>
    </font>
    <font>
      <i/>
      <sz val="8.5"/>
      <color rgb="FFFFFFFF"/>
      <name val="Calibri"/>
      <family val="2"/>
    </font>
    <font>
      <b/>
      <sz val="9"/>
      <color rgb="FFFFFFFF"/>
      <name val="Calibri"/>
      <family val="2"/>
      <charset val="1"/>
    </font>
    <font>
      <b/>
      <sz val="9.5"/>
      <color rgb="FF1B5E20"/>
      <name val="Calibri"/>
      <family val="2"/>
    </font>
    <font>
      <b/>
      <sz val="9.5"/>
      <color rgb="FF1A237E"/>
      <name val="Calibri"/>
      <family val="2"/>
    </font>
    <font>
      <b/>
      <sz val="8.5"/>
      <color rgb="FFC62828"/>
      <name val="Calibri"/>
      <family val="2"/>
    </font>
    <font>
      <sz val="9.5"/>
      <color rgb="FF0D2B55"/>
      <name val="Calibri"/>
      <family val="2"/>
    </font>
    <font>
      <sz val="9.5"/>
      <color rgb="FF1B5E20"/>
      <name val="Calibri"/>
      <family val="2"/>
    </font>
    <font>
      <sz val="9.5"/>
      <color rgb="FF2E7D32"/>
      <name val="Calibri"/>
      <family val="2"/>
    </font>
    <font>
      <sz val="8.5"/>
      <color rgb="FFC62828"/>
      <name val="Calibri"/>
      <family val="2"/>
    </font>
    <font>
      <b/>
      <sz val="9.5"/>
      <color theme="0"/>
      <name val="Calibri"/>
      <family val="2"/>
      <charset val="1"/>
    </font>
    <font>
      <b/>
      <sz val="8.5"/>
      <color rgb="FF2E7D32"/>
      <name val="Calibri"/>
      <family val="2"/>
    </font>
    <font>
      <sz val="9.5"/>
      <color rgb="FF1565C0"/>
      <name val="Calibri"/>
      <family val="2"/>
    </font>
    <font>
      <sz val="9"/>
      <color rgb="FF1565C0"/>
      <name val="Calibri"/>
      <family val="2"/>
    </font>
    <font>
      <sz val="9"/>
      <color rgb="FF2E7D32"/>
      <name val="Calibri"/>
      <family val="2"/>
    </font>
    <font>
      <sz val="9.5"/>
      <color rgb="FFE65100"/>
      <name val="Calibri"/>
      <family val="2"/>
    </font>
    <font>
      <sz val="9"/>
      <color rgb="FFE65100"/>
      <name val="Calibri"/>
      <family val="2"/>
    </font>
    <font>
      <sz val="9"/>
      <color rgb="FF0D2B55"/>
      <name val="Calibri"/>
      <family val="2"/>
    </font>
    <font>
      <b/>
      <sz val="13"/>
      <color rgb="FFFFFFFF"/>
      <name val="Calibri"/>
      <family val="2"/>
    </font>
    <font>
      <i/>
      <sz val="8.5"/>
      <color rgb="FFFFFFFF"/>
      <name val="Calibri"/>
      <family val="2"/>
      <charset val="1"/>
    </font>
    <font>
      <b/>
      <sz val="8.5"/>
      <color rgb="FFFFFFFF"/>
      <name val="Calibri"/>
      <family val="2"/>
    </font>
    <font>
      <i/>
      <sz val="8.5"/>
      <color rgb="FF424242"/>
      <name val="Calibri"/>
      <family val="2"/>
    </font>
    <font>
      <i/>
      <sz val="7"/>
      <color rgb="FF00695C"/>
      <name val="Calibri"/>
      <family val="2"/>
    </font>
    <font>
      <b/>
      <sz val="9.5"/>
      <color rgb="FF00695C"/>
      <name val="Calibri"/>
      <family val="2"/>
    </font>
    <font>
      <i/>
      <sz val="8.5"/>
      <color rgb="FF0D2B55"/>
      <name val="Calibri"/>
      <family val="2"/>
      <charset val="1"/>
    </font>
    <font>
      <i/>
      <sz val="9"/>
      <color rgb="FF1B5E20"/>
      <name val="Calibri"/>
      <family val="2"/>
      <charset val="1"/>
    </font>
    <font>
      <b/>
      <sz val="9.5"/>
      <color rgb="FFC62828"/>
      <name val="Calibri"/>
      <family val="2"/>
      <charset val="1"/>
    </font>
    <font>
      <b/>
      <sz val="9.5"/>
      <color rgb="FFC62828"/>
      <name val="Calibri"/>
      <family val="2"/>
    </font>
    <font>
      <b/>
      <sz val="10"/>
      <color rgb="FFC62828"/>
      <name val="Calibri"/>
      <family val="2"/>
    </font>
    <font>
      <b/>
      <sz val="9"/>
      <color rgb="FF00695C"/>
      <name val="Calibri"/>
      <family val="2"/>
    </font>
    <font>
      <b/>
      <i/>
      <sz val="9"/>
      <color rgb="FFFFFFFF"/>
      <name val="Calibri"/>
      <family val="2"/>
      <charset val="1"/>
    </font>
    <font>
      <b/>
      <i/>
      <sz val="8.5"/>
      <color rgb="FF757575"/>
      <name val="Calibri"/>
      <family val="2"/>
      <charset val="1"/>
    </font>
    <font>
      <b/>
      <sz val="9.5"/>
      <color rgb="FF000000"/>
      <name val="Calibri"/>
      <family val="2"/>
    </font>
    <font>
      <sz val="10"/>
      <color rgb="FF0D2B55"/>
      <name val="Calibri"/>
      <family val="2"/>
    </font>
    <font>
      <b/>
      <sz val="9.5"/>
      <color rgb="FF0D2B55"/>
      <name val="Calibri"/>
      <family val="2"/>
      <charset val="1"/>
    </font>
    <font>
      <sz val="9.5"/>
      <color rgb="FF0D2B55"/>
      <name val="Calibri"/>
      <family val="2"/>
      <charset val="1"/>
    </font>
    <font>
      <b/>
      <sz val="10.5"/>
      <color rgb="FFFFFFFF"/>
      <name val="Calibri"/>
      <family val="2"/>
      <charset val="1"/>
    </font>
    <font>
      <i/>
      <sz val="8"/>
      <color rgb="FFE65100"/>
      <name val="Calibri"/>
      <family val="2"/>
    </font>
    <font>
      <b/>
      <sz val="8.5"/>
      <color rgb="FF757575"/>
      <name val="Calibri"/>
      <family val="2"/>
      <charset val="1"/>
    </font>
    <font>
      <i/>
      <sz val="9"/>
      <color rgb="FF0D2B55"/>
      <name val="Calibri"/>
      <family val="2"/>
    </font>
    <font>
      <sz val="9.5"/>
      <color rgb="FF00695C"/>
      <name val="Calibri"/>
      <family val="2"/>
    </font>
    <font>
      <b/>
      <sz val="10"/>
      <color rgb="FF1B5E20"/>
      <name val="Calibri"/>
      <family val="2"/>
    </font>
    <font>
      <i/>
      <sz val="8"/>
      <color rgb="FF757575"/>
      <name val="Calibri"/>
      <family val="2"/>
    </font>
    <font>
      <sz val="9"/>
      <color rgb="FF757575"/>
      <name val="Calibri"/>
      <family val="2"/>
    </font>
    <font>
      <i/>
      <sz val="8.5"/>
      <color rgb="FF0D2B55"/>
      <name val="Calibri"/>
      <family val="2"/>
    </font>
    <font>
      <b/>
      <sz val="10"/>
      <color rgb="FF1A237E"/>
      <name val="Calibri"/>
      <family val="2"/>
    </font>
    <font>
      <b/>
      <sz val="13"/>
      <color rgb="FF1A237E"/>
      <name val="Calibri"/>
      <family val="2"/>
    </font>
    <font>
      <i/>
      <sz val="8.5"/>
      <color rgb="FFE65100"/>
      <name val="Calibri"/>
      <family val="2"/>
    </font>
    <font>
      <sz val="9"/>
      <color rgb="FF00695C"/>
      <name val="Calibri"/>
      <family val="2"/>
    </font>
    <font>
      <i/>
      <sz val="7.5"/>
      <color rgb="FF757575"/>
      <name val="Calibri"/>
      <family val="2"/>
    </font>
    <font>
      <b/>
      <sz val="12"/>
      <color rgb="FFFFFFFF"/>
      <name val="Calibri"/>
      <family val="2"/>
    </font>
    <font>
      <i/>
      <sz val="9"/>
      <color rgb="FF757575"/>
      <name val="Calibri"/>
      <family val="2"/>
    </font>
    <font>
      <sz val="9.5"/>
      <color rgb="FF757575"/>
      <name val="Calibri"/>
      <family val="2"/>
    </font>
    <font>
      <b/>
      <sz val="11"/>
      <color rgb="FF1A237E"/>
      <name val="Calibri"/>
      <family val="2"/>
    </font>
    <font>
      <sz val="9"/>
      <color rgb="FF424242"/>
      <name val="Calibri"/>
      <family val="2"/>
    </font>
    <font>
      <b/>
      <sz val="8"/>
      <color rgb="FFE65100"/>
      <name val="Calibri"/>
      <family val="2"/>
    </font>
    <font>
      <b/>
      <sz val="8"/>
      <color rgb="FF1565C0"/>
      <name val="Calibri"/>
      <family val="2"/>
    </font>
    <font>
      <b/>
      <sz val="8"/>
      <color rgb="FFC62828"/>
      <name val="Calibri"/>
      <family val="2"/>
    </font>
    <font>
      <b/>
      <sz val="14"/>
      <color rgb="FFE65100"/>
      <name val="Calibri"/>
      <family val="2"/>
    </font>
    <font>
      <b/>
      <sz val="14"/>
      <color rgb="FF1565C0"/>
      <name val="Calibri"/>
      <family val="2"/>
    </font>
    <font>
      <b/>
      <sz val="14"/>
      <color rgb="FFC62828"/>
      <name val="Calibri"/>
      <family val="2"/>
    </font>
    <font>
      <i/>
      <sz val="7.5"/>
      <color rgb="FFE65100"/>
      <name val="Calibri"/>
      <family val="2"/>
    </font>
    <font>
      <i/>
      <sz val="7.5"/>
      <color rgb="FF1565C0"/>
      <name val="Calibri"/>
      <family val="2"/>
    </font>
    <font>
      <i/>
      <sz val="7.5"/>
      <color rgb="FFC62828"/>
      <name val="Calibri"/>
      <family val="2"/>
    </font>
    <font>
      <b/>
      <sz val="8.5"/>
      <color rgb="FF00695C"/>
      <name val="Calibri"/>
      <family val="2"/>
    </font>
    <font>
      <b/>
      <sz val="8.5"/>
      <color rgb="FF757575"/>
      <name val="Calibri"/>
      <family val="2"/>
    </font>
    <font>
      <b/>
      <sz val="9"/>
      <color rgb="FFC62828"/>
      <name val="Calibri"/>
      <family val="2"/>
    </font>
    <font>
      <sz val="8.5"/>
      <color rgb="FF1565C0"/>
      <name val="Calibri"/>
      <family val="2"/>
    </font>
    <font>
      <sz val="8.5"/>
      <color rgb="FF00695C"/>
      <name val="Calibri"/>
      <family val="2"/>
    </font>
    <font>
      <sz val="9"/>
      <color rgb="FFF57F17"/>
      <name val="Calibri"/>
      <family val="2"/>
    </font>
    <font>
      <b/>
      <sz val="9.5"/>
      <color rgb="FFF57F17"/>
      <name val="Calibri"/>
      <family val="2"/>
    </font>
    <font>
      <b/>
      <sz val="12"/>
      <color rgb="FF2E7D32"/>
      <name val="Calibri"/>
      <family val="2"/>
    </font>
    <font>
      <i/>
      <sz val="8"/>
      <color rgb="FF424242"/>
      <name val="Calibri"/>
      <family val="2"/>
    </font>
    <font>
      <b/>
      <sz val="9"/>
      <color rgb="FFF57F17"/>
      <name val="Calibri"/>
      <family val="2"/>
    </font>
    <font>
      <b/>
      <sz val="15"/>
      <color rgb="FFFFFFFF"/>
      <name val="Calibri"/>
      <family val="2"/>
    </font>
    <font>
      <b/>
      <sz val="16"/>
      <color rgb="FFFFFFFF"/>
      <name val="Calibri"/>
      <family val="2"/>
    </font>
    <font>
      <b/>
      <sz val="8"/>
      <color rgb="FF0D2B55"/>
      <name val="Calibri"/>
      <family val="2"/>
    </font>
    <font>
      <sz val="9"/>
      <color rgb="FF1A237E"/>
      <name val="Calibri"/>
      <family val="2"/>
    </font>
    <font>
      <sz val="9"/>
      <color rgb="FF000000"/>
      <name val="Calibri"/>
      <family val="2"/>
    </font>
    <font>
      <b/>
      <sz val="9.5"/>
      <color theme="0"/>
      <name val="Calibri"/>
      <family val="2"/>
    </font>
    <font>
      <b/>
      <sz val="9.5"/>
      <color rgb="FF0D2B55"/>
      <name val="Calibri"/>
      <family val="2"/>
    </font>
    <font>
      <sz val="9"/>
      <color rgb="FF0D2B55"/>
      <name val="Calibri"/>
      <family val="2"/>
    </font>
    <font>
      <b/>
      <sz val="10.5"/>
      <color rgb="FFFFFFFF"/>
      <name val="Calibri"/>
      <family val="2"/>
    </font>
    <font>
      <b/>
      <sz val="9"/>
      <color rgb="FF0D2B55"/>
      <name val="Calibri"/>
      <family val="2"/>
    </font>
    <font>
      <i/>
      <sz val="8"/>
      <color rgb="FF424242"/>
      <name val="Calibri"/>
      <family val="2"/>
    </font>
    <font>
      <i/>
      <sz val="8.5"/>
      <color rgb="FF424242"/>
      <name val="Calibri"/>
      <family val="2"/>
    </font>
    <font>
      <b/>
      <sz val="11"/>
      <color rgb="FFFFFFFF"/>
      <name val="Calibri"/>
      <family val="2"/>
    </font>
    <font>
      <b/>
      <i/>
      <sz val="9"/>
      <color rgb="FFFFFFFF"/>
      <name val="Calibri"/>
      <family val="2"/>
    </font>
    <font>
      <i/>
      <sz val="8.5"/>
      <color rgb="FFFFFFFF"/>
      <name val="Calibri"/>
      <family val="2"/>
    </font>
    <font>
      <i/>
      <sz val="8.5"/>
      <color rgb="FF0D2B55"/>
      <name val="Calibri"/>
      <family val="2"/>
    </font>
    <font>
      <b/>
      <sz val="9"/>
      <color rgb="FFE65100"/>
      <name val="Calibri"/>
      <family val="2"/>
    </font>
    <font>
      <b/>
      <i/>
      <sz val="8"/>
      <color rgb="FF757575"/>
      <name val="Calibri"/>
      <family val="2"/>
    </font>
    <font>
      <sz val="11"/>
      <color theme="0"/>
      <name val="Calibri"/>
      <family val="2"/>
    </font>
    <font>
      <i/>
      <sz val="8"/>
      <color rgb="FF757575"/>
      <name val="Calibri"/>
      <family val="2"/>
    </font>
    <font>
      <b/>
      <sz val="9.5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D2B55"/>
        <bgColor rgb="FF1A237E"/>
      </patternFill>
    </fill>
    <fill>
      <patternFill patternType="solid">
        <fgColor rgb="FF1565C0"/>
        <bgColor rgb="FF3366FF"/>
      </patternFill>
    </fill>
    <fill>
      <patternFill patternType="solid">
        <fgColor rgb="FFF0F0F0"/>
        <bgColor rgb="FFE8F5E9"/>
      </patternFill>
    </fill>
    <fill>
      <patternFill patternType="solid">
        <fgColor rgb="FFFAFAFA"/>
        <bgColor rgb="FFF9F9F9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FEBEE"/>
      </patternFill>
    </fill>
    <fill>
      <patternFill patternType="solid">
        <fgColor rgb="FFE0F2F1"/>
        <bgColor rgb="FFE3F2FD"/>
      </patternFill>
    </fill>
    <fill>
      <patternFill patternType="solid">
        <fgColor rgb="FFE3F2FD"/>
        <bgColor rgb="FFE0F2F1"/>
      </patternFill>
    </fill>
    <fill>
      <patternFill patternType="solid">
        <fgColor rgb="FF4527A0"/>
        <bgColor rgb="FF1A237E"/>
      </patternFill>
    </fill>
    <fill>
      <patternFill patternType="solid">
        <fgColor rgb="FF424242"/>
        <bgColor rgb="FF1B5E2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0F2F1"/>
      </patternFill>
    </fill>
    <fill>
      <patternFill patternType="solid">
        <fgColor rgb="FF757575"/>
        <bgColor rgb="FF878787"/>
      </patternFill>
    </fill>
    <fill>
      <patternFill patternType="solid">
        <fgColor rgb="FFF57F17"/>
        <bgColor rgb="FFDB8238"/>
      </patternFill>
    </fill>
    <fill>
      <patternFill patternType="solid">
        <fgColor rgb="FFFFFDE7"/>
        <bgColor rgb="FFFAFAFA"/>
      </patternFill>
    </fill>
    <fill>
      <patternFill patternType="solid">
        <fgColor rgb="FF00695C"/>
        <bgColor rgb="FF1B5E20"/>
      </patternFill>
    </fill>
    <fill>
      <patternFill patternType="solid">
        <fgColor rgb="FFFFEBEE"/>
        <bgColor rgb="FFFFF3E0"/>
      </patternFill>
    </fill>
    <fill>
      <patternFill patternType="solid">
        <fgColor rgb="FFEDE7F6"/>
        <bgColor rgb="FFF0F0F0"/>
      </patternFill>
    </fill>
    <fill>
      <patternFill patternType="solid">
        <fgColor rgb="FFC62828"/>
        <bgColor rgb="FFAA433F"/>
      </patternFill>
    </fill>
    <fill>
      <patternFill patternType="solid">
        <fgColor theme="9" tint="0.79998168889431442"/>
        <bgColor rgb="FFE3F2FD"/>
      </patternFill>
    </fill>
    <fill>
      <patternFill patternType="solid">
        <fgColor theme="7" tint="0.79998168889431442"/>
        <bgColor rgb="FFE8F5E9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F57F17"/>
      </bottom>
      <diagonal/>
    </border>
    <border>
      <left/>
      <right/>
      <top/>
      <bottom style="thin">
        <color rgb="FFBDBDBD"/>
      </bottom>
      <diagonal/>
    </border>
    <border>
      <left/>
      <right/>
      <top style="medium">
        <color rgb="FF0D2B55"/>
      </top>
      <bottom style="medium">
        <color rgb="FF0D2B55"/>
      </bottom>
      <diagonal/>
    </border>
    <border>
      <left/>
      <right/>
      <top style="thick">
        <color rgb="FFF57F17"/>
      </top>
      <bottom style="thick">
        <color rgb="FFF57F17"/>
      </bottom>
      <diagonal/>
    </border>
    <border>
      <left style="medium">
        <color rgb="FFF57F17"/>
      </left>
      <right style="medium">
        <color rgb="FFF57F17"/>
      </right>
      <top style="medium">
        <color rgb="FFF57F17"/>
      </top>
      <bottom style="medium">
        <color rgb="FFF57F17"/>
      </bottom>
      <diagonal/>
    </border>
    <border>
      <left style="thin">
        <color rgb="FFF57F17"/>
      </left>
      <right style="thin">
        <color rgb="FFF57F17"/>
      </right>
      <top style="thin">
        <color rgb="FFF57F17"/>
      </top>
      <bottom style="thin">
        <color rgb="FFF57F17"/>
      </bottom>
      <diagonal/>
    </border>
    <border>
      <left style="thin">
        <color rgb="FF4527A0"/>
      </left>
      <right style="thin">
        <color rgb="FF4527A0"/>
      </right>
      <top style="thin">
        <color rgb="FF4527A0"/>
      </top>
      <bottom style="thin">
        <color rgb="FF4527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57F17"/>
      </left>
      <right style="thin">
        <color rgb="FFF57F17"/>
      </right>
      <top/>
      <bottom style="thin">
        <color rgb="FFF57F17"/>
      </bottom>
      <diagonal/>
    </border>
    <border>
      <left style="medium">
        <color rgb="FFF57F17"/>
      </left>
      <right style="medium">
        <color rgb="FFF57F17"/>
      </right>
      <top style="medium">
        <color rgb="FFF57F17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F57F17"/>
      </left>
      <right/>
      <top style="medium">
        <color rgb="FFF57F17"/>
      </top>
      <bottom/>
      <diagonal/>
    </border>
    <border>
      <left style="medium">
        <color theme="9" tint="-0.249977111117893"/>
      </left>
      <right style="medium">
        <color rgb="FFF57F17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rgb="FFF57F17"/>
      </left>
      <right style="medium">
        <color rgb="FFF57F17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rgb="FFF57F17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</borders>
  <cellStyleXfs count="1">
    <xf numFmtId="0" fontId="0" fillId="0" borderId="0"/>
  </cellStyleXfs>
  <cellXfs count="487">
    <xf numFmtId="0" fontId="0" fillId="0" borderId="0" xfId="0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164" fontId="9" fillId="0" borderId="2" xfId="0" applyNumberFormat="1" applyFont="1" applyBorder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/>
    </xf>
    <xf numFmtId="165" fontId="11" fillId="0" borderId="0" xfId="0" applyNumberFormat="1" applyFont="1" applyAlignment="1">
      <alignment horizontal="center"/>
    </xf>
    <xf numFmtId="0" fontId="12" fillId="5" borderId="0" xfId="0" applyFont="1" applyFill="1" applyAlignment="1">
      <alignment horizontal="left" vertical="center"/>
    </xf>
    <xf numFmtId="0" fontId="0" fillId="5" borderId="0" xfId="0" applyFill="1"/>
    <xf numFmtId="0" fontId="13" fillId="2" borderId="3" xfId="0" applyFont="1" applyFill="1" applyBorder="1" applyAlignment="1">
      <alignment horizontal="left" vertical="center"/>
    </xf>
    <xf numFmtId="0" fontId="0" fillId="2" borderId="3" xfId="0" applyFill="1" applyBorder="1"/>
    <xf numFmtId="166" fontId="4" fillId="2" borderId="3" xfId="0" applyNumberFormat="1" applyFont="1" applyFill="1" applyBorder="1" applyAlignment="1">
      <alignment horizontal="right" vertical="center"/>
    </xf>
    <xf numFmtId="166" fontId="13" fillId="2" borderId="3" xfId="0" applyNumberFormat="1" applyFont="1" applyFill="1" applyBorder="1" applyAlignment="1">
      <alignment horizontal="right" vertical="center"/>
    </xf>
    <xf numFmtId="167" fontId="5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2"/>
    </xf>
    <xf numFmtId="167" fontId="14" fillId="0" borderId="0" xfId="0" applyNumberFormat="1" applyFont="1" applyAlignment="1">
      <alignment horizontal="center" vertical="center"/>
    </xf>
    <xf numFmtId="0" fontId="15" fillId="7" borderId="3" xfId="0" applyFont="1" applyFill="1" applyBorder="1" applyAlignment="1">
      <alignment horizontal="left" vertical="center"/>
    </xf>
    <xf numFmtId="0" fontId="0" fillId="7" borderId="3" xfId="0" applyFill="1" applyBorder="1"/>
    <xf numFmtId="166" fontId="16" fillId="7" borderId="3" xfId="0" applyNumberFormat="1" applyFont="1" applyFill="1" applyBorder="1" applyAlignment="1">
      <alignment horizontal="right" vertical="center"/>
    </xf>
    <xf numFmtId="166" fontId="15" fillId="7" borderId="3" xfId="0" applyNumberFormat="1" applyFont="1" applyFill="1" applyBorder="1" applyAlignment="1">
      <alignment horizontal="right" vertical="center"/>
    </xf>
    <xf numFmtId="167" fontId="17" fillId="7" borderId="3" xfId="0" applyNumberFormat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left" vertical="center"/>
    </xf>
    <xf numFmtId="0" fontId="0" fillId="8" borderId="3" xfId="0" applyFill="1" applyBorder="1"/>
    <xf numFmtId="166" fontId="19" fillId="8" borderId="3" xfId="0" applyNumberFormat="1" applyFont="1" applyFill="1" applyBorder="1" applyAlignment="1">
      <alignment horizontal="right" vertical="center"/>
    </xf>
    <xf numFmtId="166" fontId="18" fillId="8" borderId="3" xfId="0" applyNumberFormat="1" applyFont="1" applyFill="1" applyBorder="1" applyAlignment="1">
      <alignment horizontal="right" vertical="center"/>
    </xf>
    <xf numFmtId="167" fontId="19" fillId="8" borderId="3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10" fontId="11" fillId="5" borderId="0" xfId="0" applyNumberFormat="1" applyFont="1" applyFill="1" applyAlignment="1">
      <alignment horizontal="right" vertical="center"/>
    </xf>
    <xf numFmtId="10" fontId="20" fillId="5" borderId="0" xfId="0" applyNumberFormat="1" applyFont="1" applyFill="1" applyAlignment="1">
      <alignment horizontal="right" vertical="center"/>
    </xf>
    <xf numFmtId="0" fontId="21" fillId="9" borderId="3" xfId="0" applyFont="1" applyFill="1" applyBorder="1" applyAlignment="1">
      <alignment horizontal="left" vertical="center"/>
    </xf>
    <xf numFmtId="0" fontId="0" fillId="9" borderId="3" xfId="0" applyFill="1" applyBorder="1"/>
    <xf numFmtId="166" fontId="22" fillId="9" borderId="3" xfId="0" applyNumberFormat="1" applyFont="1" applyFill="1" applyBorder="1" applyAlignment="1">
      <alignment horizontal="right" vertical="center"/>
    </xf>
    <xf numFmtId="166" fontId="21" fillId="9" borderId="3" xfId="0" applyNumberFormat="1" applyFont="1" applyFill="1" applyBorder="1" applyAlignment="1">
      <alignment horizontal="right" vertical="center"/>
    </xf>
    <xf numFmtId="167" fontId="23" fillId="9" borderId="3" xfId="0" applyNumberFormat="1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left" vertical="center"/>
    </xf>
    <xf numFmtId="166" fontId="25" fillId="9" borderId="3" xfId="0" applyNumberFormat="1" applyFont="1" applyFill="1" applyBorder="1" applyAlignment="1">
      <alignment horizontal="right" vertical="center"/>
    </xf>
    <xf numFmtId="166" fontId="24" fillId="9" borderId="3" xfId="0" applyNumberFormat="1" applyFont="1" applyFill="1" applyBorder="1" applyAlignment="1">
      <alignment horizontal="right" vertical="center"/>
    </xf>
    <xf numFmtId="167" fontId="26" fillId="9" borderId="3" xfId="0" applyNumberFormat="1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left" vertical="center"/>
    </xf>
    <xf numFmtId="0" fontId="0" fillId="4" borderId="3" xfId="0" applyFill="1" applyBorder="1"/>
    <xf numFmtId="166" fontId="28" fillId="4" borderId="3" xfId="0" applyNumberFormat="1" applyFont="1" applyFill="1" applyBorder="1" applyAlignment="1">
      <alignment horizontal="right" vertical="center"/>
    </xf>
    <xf numFmtId="166" fontId="27" fillId="4" borderId="3" xfId="0" applyNumberFormat="1" applyFont="1" applyFill="1" applyBorder="1" applyAlignment="1">
      <alignment horizontal="right" vertical="center"/>
    </xf>
    <xf numFmtId="167" fontId="29" fillId="4" borderId="3" xfId="0" applyNumberFormat="1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left" vertical="center"/>
    </xf>
    <xf numFmtId="166" fontId="31" fillId="9" borderId="3" xfId="0" applyNumberFormat="1" applyFont="1" applyFill="1" applyBorder="1" applyAlignment="1">
      <alignment horizontal="right" vertical="center"/>
    </xf>
    <xf numFmtId="166" fontId="30" fillId="9" borderId="3" xfId="0" applyNumberFormat="1" applyFont="1" applyFill="1" applyBorder="1" applyAlignment="1">
      <alignment horizontal="right" vertical="center"/>
    </xf>
    <xf numFmtId="167" fontId="32" fillId="9" borderId="3" xfId="0" applyNumberFormat="1" applyFont="1" applyFill="1" applyBorder="1" applyAlignment="1">
      <alignment horizontal="center" vertical="center"/>
    </xf>
    <xf numFmtId="0" fontId="33" fillId="12" borderId="4" xfId="0" applyFont="1" applyFill="1" applyBorder="1" applyAlignment="1">
      <alignment horizontal="left" vertical="center"/>
    </xf>
    <xf numFmtId="0" fontId="0" fillId="12" borderId="4" xfId="0" applyFill="1" applyBorder="1"/>
    <xf numFmtId="166" fontId="13" fillId="12" borderId="4" xfId="0" applyNumberFormat="1" applyFont="1" applyFill="1" applyBorder="1" applyAlignment="1">
      <alignment horizontal="right" vertical="center"/>
    </xf>
    <xf numFmtId="166" fontId="33" fillId="12" borderId="4" xfId="0" applyNumberFormat="1" applyFont="1" applyFill="1" applyBorder="1" applyAlignment="1">
      <alignment horizontal="right" vertical="center"/>
    </xf>
    <xf numFmtId="167" fontId="13" fillId="12" borderId="4" xfId="0" applyNumberFormat="1" applyFont="1" applyFill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0" fillId="13" borderId="0" xfId="0" applyFill="1"/>
    <xf numFmtId="166" fontId="35" fillId="13" borderId="0" xfId="0" applyNumberFormat="1" applyFont="1" applyFill="1" applyAlignment="1">
      <alignment horizontal="right" vertical="center"/>
    </xf>
    <xf numFmtId="166" fontId="36" fillId="13" borderId="0" xfId="0" applyNumberFormat="1" applyFont="1" applyFill="1" applyAlignment="1">
      <alignment horizontal="right" vertical="center"/>
    </xf>
    <xf numFmtId="0" fontId="37" fillId="4" borderId="3" xfId="0" applyFont="1" applyFill="1" applyBorder="1" applyAlignment="1">
      <alignment horizontal="left" vertical="center"/>
    </xf>
    <xf numFmtId="164" fontId="38" fillId="4" borderId="3" xfId="0" applyNumberFormat="1" applyFont="1" applyFill="1" applyBorder="1" applyAlignment="1">
      <alignment horizontal="right" vertical="center"/>
    </xf>
    <xf numFmtId="164" fontId="37" fillId="4" borderId="3" xfId="0" applyNumberFormat="1" applyFont="1" applyFill="1" applyBorder="1" applyAlignment="1">
      <alignment horizontal="right" vertical="center"/>
    </xf>
    <xf numFmtId="167" fontId="20" fillId="4" borderId="3" xfId="0" applyNumberFormat="1" applyFont="1" applyFill="1" applyBorder="1" applyAlignment="1">
      <alignment horizontal="center" vertical="center"/>
    </xf>
    <xf numFmtId="0" fontId="39" fillId="9" borderId="3" xfId="0" applyFont="1" applyFill="1" applyBorder="1" applyAlignment="1">
      <alignment horizontal="left" vertical="center"/>
    </xf>
    <xf numFmtId="166" fontId="39" fillId="9" borderId="3" xfId="0" applyNumberFormat="1" applyFont="1" applyFill="1" applyBorder="1" applyAlignment="1">
      <alignment horizontal="right" vertical="center"/>
    </xf>
    <xf numFmtId="167" fontId="30" fillId="9" borderId="3" xfId="0" applyNumberFormat="1" applyFont="1" applyFill="1" applyBorder="1" applyAlignment="1">
      <alignment horizontal="center" vertical="center"/>
    </xf>
    <xf numFmtId="0" fontId="41" fillId="13" borderId="3" xfId="0" applyFont="1" applyFill="1" applyBorder="1" applyAlignment="1">
      <alignment horizontal="left" vertical="center"/>
    </xf>
    <xf numFmtId="0" fontId="0" fillId="13" borderId="3" xfId="0" applyFill="1" applyBorder="1"/>
    <xf numFmtId="164" fontId="42" fillId="13" borderId="3" xfId="0" applyNumberFormat="1" applyFont="1" applyFill="1" applyBorder="1" applyAlignment="1">
      <alignment horizontal="right" vertical="center"/>
    </xf>
    <xf numFmtId="164" fontId="41" fillId="13" borderId="3" xfId="0" applyNumberFormat="1" applyFont="1" applyFill="1" applyBorder="1" applyAlignment="1">
      <alignment horizontal="right" vertical="center"/>
    </xf>
    <xf numFmtId="167" fontId="36" fillId="13" borderId="3" xfId="0" applyNumberFormat="1" applyFont="1" applyFill="1" applyBorder="1" applyAlignment="1">
      <alignment horizontal="center" vertical="center"/>
    </xf>
    <xf numFmtId="0" fontId="39" fillId="16" borderId="3" xfId="0" applyFont="1" applyFill="1" applyBorder="1" applyAlignment="1">
      <alignment horizontal="left" vertical="center"/>
    </xf>
    <xf numFmtId="0" fontId="0" fillId="16" borderId="3" xfId="0" applyFill="1" applyBorder="1"/>
    <xf numFmtId="166" fontId="30" fillId="16" borderId="3" xfId="0" applyNumberFormat="1" applyFont="1" applyFill="1" applyBorder="1" applyAlignment="1">
      <alignment horizontal="right" vertical="center"/>
    </xf>
    <xf numFmtId="166" fontId="39" fillId="16" borderId="3" xfId="0" applyNumberFormat="1" applyFont="1" applyFill="1" applyBorder="1" applyAlignment="1">
      <alignment horizontal="right" vertical="center"/>
    </xf>
    <xf numFmtId="167" fontId="30" fillId="16" borderId="3" xfId="0" applyNumberFormat="1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left" vertical="center"/>
    </xf>
    <xf numFmtId="0" fontId="0" fillId="2" borderId="4" xfId="0" applyFill="1" applyBorder="1"/>
    <xf numFmtId="166" fontId="13" fillId="2" borderId="4" xfId="0" applyNumberFormat="1" applyFont="1" applyFill="1" applyBorder="1" applyAlignment="1">
      <alignment horizontal="right" vertical="center"/>
    </xf>
    <xf numFmtId="166" fontId="33" fillId="2" borderId="4" xfId="0" applyNumberFormat="1" applyFont="1" applyFill="1" applyBorder="1" applyAlignment="1">
      <alignment horizontal="right" vertical="center"/>
    </xf>
    <xf numFmtId="167" fontId="13" fillId="2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164" fontId="10" fillId="13" borderId="2" xfId="0" applyNumberFormat="1" applyFont="1" applyFill="1" applyBorder="1" applyAlignment="1">
      <alignment horizontal="right" vertical="center"/>
    </xf>
    <xf numFmtId="167" fontId="42" fillId="13" borderId="2" xfId="0" applyNumberFormat="1" applyFont="1" applyFill="1" applyBorder="1" applyAlignment="1">
      <alignment horizontal="right" vertical="center"/>
    </xf>
    <xf numFmtId="167" fontId="14" fillId="0" borderId="2" xfId="0" applyNumberFormat="1" applyFont="1" applyBorder="1" applyAlignment="1">
      <alignment horizontal="right" vertical="center"/>
    </xf>
    <xf numFmtId="0" fontId="48" fillId="2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164" fontId="50" fillId="0" borderId="2" xfId="0" applyNumberFormat="1" applyFont="1" applyBorder="1" applyAlignment="1">
      <alignment horizontal="right" vertical="center"/>
    </xf>
    <xf numFmtId="167" fontId="51" fillId="13" borderId="2" xfId="0" applyNumberFormat="1" applyFont="1" applyFill="1" applyBorder="1" applyAlignment="1">
      <alignment horizontal="right" vertical="center"/>
    </xf>
    <xf numFmtId="0" fontId="52" fillId="0" borderId="2" xfId="0" applyFont="1" applyBorder="1" applyAlignment="1">
      <alignment horizontal="center" vertical="center"/>
    </xf>
    <xf numFmtId="164" fontId="53" fillId="2" borderId="2" xfId="0" applyNumberFormat="1" applyFont="1" applyFill="1" applyBorder="1" applyAlignment="1">
      <alignment horizontal="right" vertical="center"/>
    </xf>
    <xf numFmtId="164" fontId="42" fillId="13" borderId="2" xfId="0" applyNumberFormat="1" applyFont="1" applyFill="1" applyBorder="1" applyAlignment="1">
      <alignment horizontal="right" vertical="center"/>
    </xf>
    <xf numFmtId="0" fontId="4" fillId="17" borderId="2" xfId="0" applyFont="1" applyFill="1" applyBorder="1" applyAlignment="1">
      <alignment horizontal="left" vertical="center"/>
    </xf>
    <xf numFmtId="164" fontId="53" fillId="17" borderId="2" xfId="0" applyNumberFormat="1" applyFont="1" applyFill="1" applyBorder="1" applyAlignment="1">
      <alignment horizontal="right" vertical="center"/>
    </xf>
    <xf numFmtId="0" fontId="54" fillId="17" borderId="2" xfId="0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right" vertical="center"/>
    </xf>
    <xf numFmtId="167" fontId="49" fillId="0" borderId="2" xfId="0" applyNumberFormat="1" applyFont="1" applyBorder="1" applyAlignment="1">
      <alignment horizontal="right" vertical="center"/>
    </xf>
    <xf numFmtId="0" fontId="35" fillId="0" borderId="2" xfId="0" applyFont="1" applyBorder="1" applyAlignment="1">
      <alignment horizontal="center" vertical="center"/>
    </xf>
    <xf numFmtId="0" fontId="49" fillId="4" borderId="2" xfId="0" applyFont="1" applyFill="1" applyBorder="1" applyAlignment="1">
      <alignment horizontal="left" vertical="center"/>
    </xf>
    <xf numFmtId="164" fontId="46" fillId="4" borderId="2" xfId="0" applyNumberFormat="1" applyFont="1" applyFill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  <xf numFmtId="0" fontId="52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55" fillId="0" borderId="2" xfId="0" applyFont="1" applyBorder="1" applyAlignment="1">
      <alignment horizontal="left" vertical="center"/>
    </xf>
    <xf numFmtId="164" fontId="56" fillId="0" borderId="2" xfId="0" applyNumberFormat="1" applyFont="1" applyBorder="1" applyAlignment="1">
      <alignment horizontal="right" vertical="center"/>
    </xf>
    <xf numFmtId="164" fontId="22" fillId="0" borderId="2" xfId="0" applyNumberFormat="1" applyFont="1" applyBorder="1" applyAlignment="1">
      <alignment horizontal="right" vertical="center"/>
    </xf>
    <xf numFmtId="0" fontId="51" fillId="0" borderId="2" xfId="0" applyFont="1" applyBorder="1" applyAlignment="1">
      <alignment horizontal="left" vertical="center"/>
    </xf>
    <xf numFmtId="164" fontId="57" fillId="0" borderId="2" xfId="0" applyNumberFormat="1" applyFont="1" applyBorder="1" applyAlignment="1">
      <alignment horizontal="right" vertical="center"/>
    </xf>
    <xf numFmtId="164" fontId="42" fillId="0" borderId="2" xfId="0" applyNumberFormat="1" applyFont="1" applyBorder="1" applyAlignment="1">
      <alignment horizontal="right" vertical="center"/>
    </xf>
    <xf numFmtId="167" fontId="57" fillId="0" borderId="2" xfId="0" applyNumberFormat="1" applyFont="1" applyBorder="1" applyAlignment="1">
      <alignment horizontal="right" vertical="center"/>
    </xf>
    <xf numFmtId="167" fontId="42" fillId="0" borderId="2" xfId="0" applyNumberFormat="1" applyFont="1" applyBorder="1" applyAlignment="1">
      <alignment horizontal="right" vertical="center"/>
    </xf>
    <xf numFmtId="0" fontId="58" fillId="0" borderId="2" xfId="0" applyFont="1" applyBorder="1" applyAlignment="1">
      <alignment horizontal="left" vertical="center"/>
    </xf>
    <xf numFmtId="164" fontId="16" fillId="0" borderId="2" xfId="0" applyNumberFormat="1" applyFont="1" applyBorder="1" applyAlignment="1">
      <alignment horizontal="right" vertical="center"/>
    </xf>
    <xf numFmtId="167" fontId="16" fillId="0" borderId="2" xfId="0" applyNumberFormat="1" applyFont="1" applyBorder="1" applyAlignment="1">
      <alignment horizontal="right" vertical="center"/>
    </xf>
    <xf numFmtId="164" fontId="31" fillId="0" borderId="2" xfId="0" applyNumberFormat="1" applyFont="1" applyBorder="1" applyAlignment="1">
      <alignment horizontal="right" vertical="center"/>
    </xf>
    <xf numFmtId="0" fontId="0" fillId="4" borderId="0" xfId="0" applyFill="1"/>
    <xf numFmtId="0" fontId="60" fillId="0" borderId="2" xfId="0" applyFont="1" applyBorder="1"/>
    <xf numFmtId="0" fontId="47" fillId="16" borderId="2" xfId="0" applyFont="1" applyFill="1" applyBorder="1" applyAlignment="1">
      <alignment horizontal="center" vertical="center"/>
    </xf>
    <xf numFmtId="0" fontId="64" fillId="0" borderId="2" xfId="0" applyFont="1" applyBorder="1"/>
    <xf numFmtId="0" fontId="14" fillId="0" borderId="2" xfId="0" applyFont="1" applyBorder="1"/>
    <xf numFmtId="0" fontId="0" fillId="0" borderId="2" xfId="0" applyBorder="1"/>
    <xf numFmtId="0" fontId="31" fillId="16" borderId="0" xfId="0" applyFont="1" applyFill="1" applyAlignment="1">
      <alignment horizontal="left" vertical="center"/>
    </xf>
    <xf numFmtId="168" fontId="47" fillId="16" borderId="5" xfId="0" applyNumberFormat="1" applyFont="1" applyFill="1" applyBorder="1" applyAlignment="1">
      <alignment horizontal="right" vertical="center"/>
    </xf>
    <xf numFmtId="164" fontId="47" fillId="16" borderId="5" xfId="0" applyNumberFormat="1" applyFont="1" applyFill="1" applyBorder="1" applyAlignment="1">
      <alignment horizontal="right" vertical="center"/>
    </xf>
    <xf numFmtId="3" fontId="47" fillId="16" borderId="5" xfId="0" applyNumberFormat="1" applyFont="1" applyFill="1" applyBorder="1" applyAlignment="1">
      <alignment horizontal="right" vertical="center"/>
    </xf>
    <xf numFmtId="0" fontId="65" fillId="0" borderId="0" xfId="0" applyFont="1" applyAlignment="1">
      <alignment horizontal="center" vertical="center" wrapText="1"/>
    </xf>
    <xf numFmtId="164" fontId="55" fillId="9" borderId="2" xfId="0" applyNumberFormat="1" applyFont="1" applyFill="1" applyBorder="1" applyAlignment="1">
      <alignment horizontal="right" vertical="center"/>
    </xf>
    <xf numFmtId="0" fontId="68" fillId="16" borderId="0" xfId="0" applyFont="1" applyFill="1" applyAlignment="1">
      <alignment horizontal="left" vertical="center"/>
    </xf>
    <xf numFmtId="164" fontId="7" fillId="4" borderId="2" xfId="0" applyNumberFormat="1" applyFont="1" applyFill="1" applyBorder="1" applyAlignment="1">
      <alignment horizontal="right" vertical="center"/>
    </xf>
    <xf numFmtId="167" fontId="66" fillId="8" borderId="2" xfId="0" applyNumberFormat="1" applyFont="1" applyFill="1" applyBorder="1" applyAlignment="1">
      <alignment horizontal="right" vertical="center"/>
    </xf>
    <xf numFmtId="168" fontId="16" fillId="7" borderId="2" xfId="0" applyNumberFormat="1" applyFont="1" applyFill="1" applyBorder="1" applyAlignment="1">
      <alignment horizontal="right" vertical="center"/>
    </xf>
    <xf numFmtId="168" fontId="66" fillId="8" borderId="2" xfId="0" applyNumberFormat="1" applyFont="1" applyFill="1" applyBorder="1" applyAlignment="1">
      <alignment horizontal="right" vertical="center"/>
    </xf>
    <xf numFmtId="0" fontId="31" fillId="8" borderId="2" xfId="0" applyFont="1" applyFill="1" applyBorder="1" applyAlignment="1">
      <alignment horizontal="left" vertical="center"/>
    </xf>
    <xf numFmtId="164" fontId="50" fillId="8" borderId="2" xfId="0" applyNumberFormat="1" applyFont="1" applyFill="1" applyBorder="1" applyAlignment="1">
      <alignment horizontal="right" vertical="center"/>
    </xf>
    <xf numFmtId="0" fontId="74" fillId="0" borderId="2" xfId="0" applyFont="1" applyBorder="1" applyAlignment="1">
      <alignment horizontal="left" vertical="center"/>
    </xf>
    <xf numFmtId="0" fontId="31" fillId="9" borderId="2" xfId="0" applyFont="1" applyFill="1" applyBorder="1" applyAlignment="1">
      <alignment horizontal="left" vertical="center"/>
    </xf>
    <xf numFmtId="164" fontId="75" fillId="9" borderId="2" xfId="0" applyNumberFormat="1" applyFont="1" applyFill="1" applyBorder="1" applyAlignment="1">
      <alignment horizontal="right" vertical="center"/>
    </xf>
    <xf numFmtId="164" fontId="76" fillId="0" borderId="2" xfId="0" applyNumberFormat="1" applyFont="1" applyBorder="1" applyAlignment="1">
      <alignment horizontal="right" vertical="center"/>
    </xf>
    <xf numFmtId="0" fontId="49" fillId="16" borderId="2" xfId="0" applyFont="1" applyFill="1" applyBorder="1" applyAlignment="1">
      <alignment horizontal="left" vertical="center"/>
    </xf>
    <xf numFmtId="167" fontId="76" fillId="16" borderId="2" xfId="0" applyNumberFormat="1" applyFont="1" applyFill="1" applyBorder="1" applyAlignment="1">
      <alignment horizontal="right" vertical="center"/>
    </xf>
    <xf numFmtId="167" fontId="19" fillId="8" borderId="2" xfId="0" applyNumberFormat="1" applyFont="1" applyFill="1" applyBorder="1" applyAlignment="1">
      <alignment horizontal="right" vertical="center"/>
    </xf>
    <xf numFmtId="0" fontId="49" fillId="8" borderId="2" xfId="0" applyFont="1" applyFill="1" applyBorder="1" applyAlignment="1">
      <alignment horizontal="left" vertical="center"/>
    </xf>
    <xf numFmtId="164" fontId="76" fillId="8" borderId="2" xfId="0" applyNumberFormat="1" applyFont="1" applyFill="1" applyBorder="1" applyAlignment="1">
      <alignment horizontal="right" vertical="center"/>
    </xf>
    <xf numFmtId="0" fontId="77" fillId="7" borderId="2" xfId="0" applyFont="1" applyFill="1" applyBorder="1" applyAlignment="1">
      <alignment horizontal="left" vertical="center"/>
    </xf>
    <xf numFmtId="164" fontId="19" fillId="7" borderId="2" xfId="0" applyNumberFormat="1" applyFont="1" applyFill="1" applyBorder="1" applyAlignment="1">
      <alignment horizontal="right" vertical="center"/>
    </xf>
    <xf numFmtId="0" fontId="78" fillId="16" borderId="2" xfId="0" applyFont="1" applyFill="1" applyBorder="1" applyAlignment="1">
      <alignment horizontal="left" vertical="center"/>
    </xf>
    <xf numFmtId="0" fontId="46" fillId="16" borderId="2" xfId="0" applyFont="1" applyFill="1" applyBorder="1" applyAlignment="1">
      <alignment horizontal="right" vertical="center"/>
    </xf>
    <xf numFmtId="0" fontId="80" fillId="0" borderId="2" xfId="0" applyFont="1" applyBorder="1" applyAlignment="1">
      <alignment horizontal="left" vertical="center"/>
    </xf>
    <xf numFmtId="170" fontId="76" fillId="16" borderId="2" xfId="0" applyNumberFormat="1" applyFont="1" applyFill="1" applyBorder="1" applyAlignment="1">
      <alignment horizontal="right" vertical="center"/>
    </xf>
    <xf numFmtId="0" fontId="81" fillId="0" borderId="2" xfId="0" applyFont="1" applyBorder="1" applyAlignment="1">
      <alignment horizontal="left" vertical="center"/>
    </xf>
    <xf numFmtId="0" fontId="77" fillId="8" borderId="2" xfId="0" applyFont="1" applyFill="1" applyBorder="1" applyAlignment="1">
      <alignment horizontal="left" vertical="center"/>
    </xf>
    <xf numFmtId="164" fontId="19" fillId="8" borderId="2" xfId="0" applyNumberFormat="1" applyFont="1" applyFill="1" applyBorder="1" applyAlignment="1">
      <alignment horizontal="right" vertical="center"/>
    </xf>
    <xf numFmtId="0" fontId="49" fillId="13" borderId="2" xfId="0" applyFont="1" applyFill="1" applyBorder="1" applyAlignment="1">
      <alignment horizontal="left" vertical="center"/>
    </xf>
    <xf numFmtId="167" fontId="76" fillId="13" borderId="2" xfId="0" applyNumberFormat="1" applyFont="1" applyFill="1" applyBorder="1" applyAlignment="1">
      <alignment horizontal="right" vertical="center"/>
    </xf>
    <xf numFmtId="0" fontId="77" fillId="13" borderId="2" xfId="0" applyFont="1" applyFill="1" applyBorder="1" applyAlignment="1">
      <alignment horizontal="left" vertical="center"/>
    </xf>
    <xf numFmtId="10" fontId="19" fillId="13" borderId="2" xfId="0" applyNumberFormat="1" applyFont="1" applyFill="1" applyBorder="1" applyAlignment="1">
      <alignment horizontal="right" vertical="center"/>
    </xf>
    <xf numFmtId="0" fontId="60" fillId="18" borderId="0" xfId="0" applyFont="1" applyFill="1"/>
    <xf numFmtId="167" fontId="10" fillId="18" borderId="0" xfId="0" applyNumberFormat="1" applyFont="1" applyFill="1" applyAlignment="1">
      <alignment horizontal="right" vertical="center"/>
    </xf>
    <xf numFmtId="0" fontId="81" fillId="0" borderId="0" xfId="0" applyFont="1"/>
    <xf numFmtId="0" fontId="60" fillId="16" borderId="0" xfId="0" applyFont="1" applyFill="1"/>
    <xf numFmtId="167" fontId="10" fillId="16" borderId="0" xfId="0" applyNumberFormat="1" applyFont="1" applyFill="1" applyAlignment="1">
      <alignment horizontal="right" vertical="center"/>
    </xf>
    <xf numFmtId="0" fontId="60" fillId="13" borderId="0" xfId="0" applyFont="1" applyFill="1"/>
    <xf numFmtId="167" fontId="10" fillId="1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171" fontId="46" fillId="8" borderId="2" xfId="0" applyNumberFormat="1" applyFont="1" applyFill="1" applyBorder="1" applyAlignment="1">
      <alignment horizontal="right" vertical="center"/>
    </xf>
    <xf numFmtId="171" fontId="58" fillId="7" borderId="2" xfId="0" applyNumberFormat="1" applyFont="1" applyFill="1" applyBorder="1" applyAlignment="1">
      <alignment horizontal="right" vertical="center"/>
    </xf>
    <xf numFmtId="171" fontId="83" fillId="8" borderId="2" xfId="0" applyNumberFormat="1" applyFont="1" applyFill="1" applyBorder="1" applyAlignment="1">
      <alignment horizontal="right" vertical="center"/>
    </xf>
    <xf numFmtId="0" fontId="31" fillId="0" borderId="2" xfId="0" applyFont="1" applyBorder="1" applyAlignment="1">
      <alignment horizontal="left" vertical="center"/>
    </xf>
    <xf numFmtId="171" fontId="84" fillId="8" borderId="2" xfId="0" applyNumberFormat="1" applyFont="1" applyFill="1" applyBorder="1" applyAlignment="1">
      <alignment horizontal="right" vertical="center"/>
    </xf>
    <xf numFmtId="168" fontId="16" fillId="0" borderId="2" xfId="0" applyNumberFormat="1" applyFont="1" applyBorder="1" applyAlignment="1">
      <alignment horizontal="right" vertical="center"/>
    </xf>
    <xf numFmtId="164" fontId="41" fillId="13" borderId="2" xfId="0" applyNumberFormat="1" applyFont="1" applyFill="1" applyBorder="1" applyAlignment="1">
      <alignment horizontal="right" vertical="center"/>
    </xf>
    <xf numFmtId="0" fontId="58" fillId="7" borderId="2" xfId="0" applyFont="1" applyFill="1" applyBorder="1" applyAlignment="1">
      <alignment horizontal="left" vertical="center"/>
    </xf>
    <xf numFmtId="164" fontId="58" fillId="7" borderId="2" xfId="0" applyNumberFormat="1" applyFont="1" applyFill="1" applyBorder="1" applyAlignment="1">
      <alignment horizontal="right" vertical="center"/>
    </xf>
    <xf numFmtId="0" fontId="85" fillId="7" borderId="0" xfId="0" applyFont="1" applyFill="1" applyAlignment="1">
      <alignment horizontal="left" vertical="center"/>
    </xf>
    <xf numFmtId="0" fontId="55" fillId="9" borderId="2" xfId="0" applyFont="1" applyFill="1" applyBorder="1" applyAlignment="1">
      <alignment horizontal="left" vertical="center"/>
    </xf>
    <xf numFmtId="0" fontId="85" fillId="9" borderId="0" xfId="0" applyFont="1" applyFill="1" applyAlignment="1">
      <alignment horizontal="left" vertical="center"/>
    </xf>
    <xf numFmtId="0" fontId="42" fillId="13" borderId="2" xfId="0" applyFont="1" applyFill="1" applyBorder="1" applyAlignment="1">
      <alignment horizontal="left" vertical="center"/>
    </xf>
    <xf numFmtId="0" fontId="85" fillId="13" borderId="0" xfId="0" applyFont="1" applyFill="1" applyAlignment="1">
      <alignment horizontal="left" vertical="center"/>
    </xf>
    <xf numFmtId="170" fontId="86" fillId="0" borderId="2" xfId="0" applyNumberFormat="1" applyFont="1" applyBorder="1" applyAlignment="1">
      <alignment horizontal="right" vertical="center"/>
    </xf>
    <xf numFmtId="164" fontId="16" fillId="7" borderId="2" xfId="0" applyNumberFormat="1" applyFont="1" applyFill="1" applyBorder="1" applyAlignment="1">
      <alignment horizontal="right" vertical="center"/>
    </xf>
    <xf numFmtId="164" fontId="86" fillId="0" borderId="2" xfId="0" applyNumberFormat="1" applyFont="1" applyBorder="1" applyAlignment="1">
      <alignment horizontal="right" vertical="center"/>
    </xf>
    <xf numFmtId="4" fontId="86" fillId="0" borderId="2" xfId="0" applyNumberFormat="1" applyFont="1" applyBorder="1" applyAlignment="1">
      <alignment horizontal="right" vertical="center"/>
    </xf>
    <xf numFmtId="164" fontId="88" fillId="16" borderId="2" xfId="0" applyNumberFormat="1" applyFont="1" applyFill="1" applyBorder="1" applyAlignment="1">
      <alignment horizontal="right" vertical="center"/>
    </xf>
    <xf numFmtId="171" fontId="59" fillId="7" borderId="2" xfId="0" applyNumberFormat="1" applyFont="1" applyFill="1" applyBorder="1" applyAlignment="1">
      <alignment horizontal="right" vertical="center"/>
    </xf>
    <xf numFmtId="171" fontId="19" fillId="8" borderId="2" xfId="0" applyNumberFormat="1" applyFont="1" applyFill="1" applyBorder="1" applyAlignment="1">
      <alignment horizontal="right" vertical="center"/>
    </xf>
    <xf numFmtId="3" fontId="88" fillId="16" borderId="2" xfId="0" applyNumberFormat="1" applyFont="1" applyFill="1" applyBorder="1" applyAlignment="1">
      <alignment horizontal="right" vertical="center"/>
    </xf>
    <xf numFmtId="164" fontId="66" fillId="8" borderId="2" xfId="0" applyNumberFormat="1" applyFont="1" applyFill="1" applyBorder="1" applyAlignment="1">
      <alignment horizontal="right" vertical="center"/>
    </xf>
    <xf numFmtId="164" fontId="83" fillId="8" borderId="2" xfId="0" applyNumberFormat="1" applyFont="1" applyFill="1" applyBorder="1" applyAlignment="1">
      <alignment horizontal="right" vertical="center"/>
    </xf>
    <xf numFmtId="167" fontId="91" fillId="8" borderId="2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33" fillId="17" borderId="4" xfId="0" applyFont="1" applyFill="1" applyBorder="1" applyAlignment="1">
      <alignment horizontal="left" vertical="center"/>
    </xf>
    <xf numFmtId="0" fontId="0" fillId="17" borderId="4" xfId="0" applyFill="1" applyBorder="1"/>
    <xf numFmtId="0" fontId="13" fillId="17" borderId="0" xfId="0" applyFont="1" applyFill="1" applyAlignment="1">
      <alignment horizontal="center" vertical="center"/>
    </xf>
    <xf numFmtId="0" fontId="94" fillId="0" borderId="2" xfId="0" applyFont="1" applyBorder="1"/>
    <xf numFmtId="168" fontId="95" fillId="0" borderId="2" xfId="0" applyNumberFormat="1" applyFont="1" applyBorder="1" applyAlignment="1">
      <alignment horizontal="right" vertical="center"/>
    </xf>
    <xf numFmtId="167" fontId="96" fillId="16" borderId="2" xfId="0" applyNumberFormat="1" applyFont="1" applyFill="1" applyBorder="1" applyAlignment="1">
      <alignment horizontal="right" vertical="center"/>
    </xf>
    <xf numFmtId="0" fontId="86" fillId="0" borderId="2" xfId="0" applyFont="1" applyBorder="1" applyAlignment="1">
      <alignment horizontal="center" vertical="center"/>
    </xf>
    <xf numFmtId="167" fontId="86" fillId="0" borderId="2" xfId="0" applyNumberFormat="1" applyFont="1" applyBorder="1" applyAlignment="1">
      <alignment horizontal="center" vertical="center"/>
    </xf>
    <xf numFmtId="0" fontId="66" fillId="8" borderId="2" xfId="0" applyFont="1" applyFill="1" applyBorder="1" applyAlignment="1">
      <alignment horizontal="left" vertical="center"/>
    </xf>
    <xf numFmtId="167" fontId="66" fillId="8" borderId="2" xfId="0" applyNumberFormat="1" applyFont="1" applyFill="1" applyBorder="1" applyAlignment="1">
      <alignment horizontal="center" vertical="center"/>
    </xf>
    <xf numFmtId="164" fontId="96" fillId="16" borderId="2" xfId="0" applyNumberFormat="1" applyFont="1" applyFill="1" applyBorder="1" applyAlignment="1">
      <alignment horizontal="right" vertical="center"/>
    </xf>
    <xf numFmtId="0" fontId="28" fillId="4" borderId="2" xfId="0" applyFont="1" applyFill="1" applyBorder="1" applyAlignment="1">
      <alignment horizontal="left" vertical="center"/>
    </xf>
    <xf numFmtId="164" fontId="27" fillId="4" borderId="2" xfId="0" applyNumberFormat="1" applyFont="1" applyFill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7" fontId="7" fillId="0" borderId="2" xfId="0" applyNumberFormat="1" applyFont="1" applyBorder="1" applyAlignment="1">
      <alignment horizontal="right" vertical="center"/>
    </xf>
    <xf numFmtId="0" fontId="60" fillId="0" borderId="2" xfId="0" applyFont="1" applyBorder="1" applyAlignment="1">
      <alignment horizontal="left" vertical="center"/>
    </xf>
    <xf numFmtId="0" fontId="97" fillId="0" borderId="2" xfId="0" applyFont="1" applyBorder="1" applyAlignment="1">
      <alignment horizontal="center" vertical="center"/>
    </xf>
    <xf numFmtId="164" fontId="97" fillId="0" borderId="2" xfId="0" applyNumberFormat="1" applyFont="1" applyBorder="1" applyAlignment="1">
      <alignment horizontal="right" vertical="center"/>
    </xf>
    <xf numFmtId="0" fontId="92" fillId="0" borderId="2" xfId="0" applyFont="1" applyBorder="1"/>
    <xf numFmtId="0" fontId="32" fillId="0" borderId="2" xfId="0" applyFont="1" applyBorder="1" applyAlignment="1">
      <alignment horizontal="left" vertical="center"/>
    </xf>
    <xf numFmtId="0" fontId="97" fillId="0" borderId="2" xfId="0" applyFont="1" applyBorder="1" applyAlignment="1">
      <alignment horizontal="left" vertical="center"/>
    </xf>
    <xf numFmtId="171" fontId="47" fillId="16" borderId="6" xfId="0" applyNumberFormat="1" applyFont="1" applyFill="1" applyBorder="1" applyAlignment="1">
      <alignment horizontal="right" vertical="center"/>
    </xf>
    <xf numFmtId="171" fontId="66" fillId="8" borderId="2" xfId="0" applyNumberFormat="1" applyFont="1" applyFill="1" applyBorder="1" applyAlignment="1">
      <alignment horizontal="right" vertical="center"/>
    </xf>
    <xf numFmtId="171" fontId="86" fillId="0" borderId="2" xfId="0" applyNumberFormat="1" applyFont="1" applyBorder="1" applyAlignment="1">
      <alignment horizontal="right" vertical="center"/>
    </xf>
    <xf numFmtId="167" fontId="36" fillId="13" borderId="2" xfId="0" applyNumberFormat="1" applyFont="1" applyFill="1" applyBorder="1" applyAlignment="1">
      <alignment horizontal="center" vertical="center"/>
    </xf>
    <xf numFmtId="0" fontId="85" fillId="0" borderId="2" xfId="0" applyFont="1" applyBorder="1" applyAlignment="1">
      <alignment horizontal="left" vertical="center" wrapText="1"/>
    </xf>
    <xf numFmtId="0" fontId="107" fillId="8" borderId="2" xfId="0" applyFont="1" applyFill="1" applyBorder="1" applyAlignment="1">
      <alignment horizontal="center" vertical="center"/>
    </xf>
    <xf numFmtId="0" fontId="108" fillId="0" borderId="2" xfId="0" applyFont="1" applyBorder="1" applyAlignment="1">
      <alignment horizontal="center" vertical="center"/>
    </xf>
    <xf numFmtId="171" fontId="25" fillId="19" borderId="7" xfId="0" applyNumberFormat="1" applyFont="1" applyFill="1" applyBorder="1" applyAlignment="1">
      <alignment horizontal="right" vertical="center"/>
    </xf>
    <xf numFmtId="171" fontId="25" fillId="19" borderId="2" xfId="0" applyNumberFormat="1" applyFont="1" applyFill="1" applyBorder="1" applyAlignment="1">
      <alignment horizontal="right" vertical="center"/>
    </xf>
    <xf numFmtId="0" fontId="72" fillId="13" borderId="2" xfId="0" applyFont="1" applyFill="1" applyBorder="1" applyAlignment="1">
      <alignment horizontal="center" vertical="center"/>
    </xf>
    <xf numFmtId="164" fontId="88" fillId="16" borderId="6" xfId="0" applyNumberFormat="1" applyFont="1" applyFill="1" applyBorder="1" applyAlignment="1">
      <alignment horizontal="center" vertical="center"/>
    </xf>
    <xf numFmtId="164" fontId="51" fillId="13" borderId="2" xfId="0" applyNumberFormat="1" applyFont="1" applyFill="1" applyBorder="1" applyAlignment="1">
      <alignment horizontal="right" vertical="center"/>
    </xf>
    <xf numFmtId="167" fontId="110" fillId="0" borderId="2" xfId="0" applyNumberFormat="1" applyFont="1" applyBorder="1" applyAlignment="1">
      <alignment horizontal="center" vertical="center"/>
    </xf>
    <xf numFmtId="164" fontId="59" fillId="7" borderId="2" xfId="0" applyNumberFormat="1" applyFont="1" applyFill="1" applyBorder="1" applyAlignment="1">
      <alignment horizontal="right" vertical="center"/>
    </xf>
    <xf numFmtId="0" fontId="92" fillId="0" borderId="2" xfId="0" applyFont="1" applyBorder="1" applyAlignment="1">
      <alignment horizontal="left" vertical="center" wrapText="1"/>
    </xf>
    <xf numFmtId="0" fontId="111" fillId="13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33" fillId="17" borderId="4" xfId="0" applyNumberFormat="1" applyFont="1" applyFill="1" applyBorder="1" applyAlignment="1">
      <alignment horizontal="right" vertical="center"/>
    </xf>
    <xf numFmtId="164" fontId="91" fillId="0" borderId="2" xfId="0" applyNumberFormat="1" applyFont="1" applyBorder="1" applyAlignment="1">
      <alignment horizontal="right" vertical="center"/>
    </xf>
    <xf numFmtId="164" fontId="112" fillId="0" borderId="2" xfId="0" applyNumberFormat="1" applyFont="1" applyBorder="1" applyAlignment="1">
      <alignment horizontal="right" vertical="center"/>
    </xf>
    <xf numFmtId="164" fontId="22" fillId="9" borderId="2" xfId="0" applyNumberFormat="1" applyFont="1" applyFill="1" applyBorder="1" applyAlignment="1">
      <alignment horizontal="right" vertical="center"/>
    </xf>
    <xf numFmtId="164" fontId="113" fillId="16" borderId="2" xfId="0" applyNumberFormat="1" applyFont="1" applyFill="1" applyBorder="1" applyAlignment="1">
      <alignment horizontal="right" vertical="center"/>
    </xf>
    <xf numFmtId="167" fontId="22" fillId="9" borderId="2" xfId="0" applyNumberFormat="1" applyFont="1" applyFill="1" applyBorder="1" applyAlignment="1">
      <alignment horizontal="right" vertical="center"/>
    </xf>
    <xf numFmtId="167" fontId="114" fillId="13" borderId="2" xfId="0" applyNumberFormat="1" applyFont="1" applyFill="1" applyBorder="1" applyAlignment="1">
      <alignment horizontal="right" vertical="center"/>
    </xf>
    <xf numFmtId="167" fontId="113" fillId="16" borderId="2" xfId="0" applyNumberFormat="1" applyFont="1" applyFill="1" applyBorder="1" applyAlignment="1">
      <alignment horizontal="right" vertical="center"/>
    </xf>
    <xf numFmtId="3" fontId="56" fillId="0" borderId="2" xfId="0" applyNumberFormat="1" applyFont="1" applyBorder="1" applyAlignment="1">
      <alignment horizontal="right" vertical="center"/>
    </xf>
    <xf numFmtId="3" fontId="91" fillId="0" borderId="2" xfId="0" applyNumberFormat="1" applyFont="1" applyBorder="1" applyAlignment="1">
      <alignment horizontal="right" vertical="center"/>
    </xf>
    <xf numFmtId="3" fontId="57" fillId="0" borderId="2" xfId="0" applyNumberFormat="1" applyFont="1" applyBorder="1" applyAlignment="1">
      <alignment horizontal="right" vertical="center"/>
    </xf>
    <xf numFmtId="3" fontId="112" fillId="0" borderId="2" xfId="0" applyNumberFormat="1" applyFont="1" applyBorder="1" applyAlignment="1">
      <alignment horizontal="right" vertical="center"/>
    </xf>
    <xf numFmtId="167" fontId="56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36" fillId="13" borderId="2" xfId="0" applyFont="1" applyFill="1" applyBorder="1" applyAlignment="1">
      <alignment horizontal="left" vertical="center" wrapText="1"/>
    </xf>
    <xf numFmtId="0" fontId="109" fillId="18" borderId="2" xfId="0" applyFont="1" applyFill="1" applyBorder="1" applyAlignment="1">
      <alignment horizontal="center" vertical="center" wrapText="1"/>
    </xf>
    <xf numFmtId="0" fontId="87" fillId="0" borderId="2" xfId="0" applyFont="1" applyBorder="1" applyAlignment="1">
      <alignment horizontal="left" vertical="center" wrapText="1"/>
    </xf>
    <xf numFmtId="0" fontId="115" fillId="0" borderId="2" xfId="0" applyFont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16" fillId="16" borderId="2" xfId="0" applyFont="1" applyFill="1" applyBorder="1" applyAlignment="1">
      <alignment horizontal="center" vertical="center" wrapText="1"/>
    </xf>
    <xf numFmtId="0" fontId="36" fillId="1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left" vertical="center"/>
    </xf>
    <xf numFmtId="0" fontId="41" fillId="13" borderId="2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64" fillId="0" borderId="2" xfId="0" applyFont="1" applyBorder="1" applyAlignment="1">
      <alignment horizontal="left" vertical="center" wrapText="1"/>
    </xf>
    <xf numFmtId="0" fontId="32" fillId="5" borderId="2" xfId="0" applyFont="1" applyFill="1" applyBorder="1" applyAlignment="1">
      <alignment horizontal="left" vertical="center"/>
    </xf>
    <xf numFmtId="0" fontId="61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164" fontId="55" fillId="9" borderId="0" xfId="0" applyNumberFormat="1" applyFont="1" applyFill="1" applyAlignment="1">
      <alignment horizontal="right" vertical="center"/>
    </xf>
    <xf numFmtId="164" fontId="58" fillId="0" borderId="0" xfId="0" applyNumberFormat="1" applyFont="1" applyAlignment="1">
      <alignment horizontal="right" vertical="center"/>
    </xf>
    <xf numFmtId="164" fontId="55" fillId="0" borderId="0" xfId="0" applyNumberFormat="1" applyFont="1" applyAlignment="1">
      <alignment horizontal="right" vertical="center"/>
    </xf>
    <xf numFmtId="164" fontId="32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119" fillId="0" borderId="0" xfId="0" applyFont="1"/>
    <xf numFmtId="0" fontId="14" fillId="0" borderId="0" xfId="0" applyFont="1" applyAlignment="1">
      <alignment horizontal="center" vertical="center"/>
    </xf>
    <xf numFmtId="0" fontId="97" fillId="0" borderId="0" xfId="0" applyFont="1"/>
    <xf numFmtId="164" fontId="120" fillId="16" borderId="2" xfId="0" applyNumberFormat="1" applyFont="1" applyFill="1" applyBorder="1" applyAlignment="1">
      <alignment horizontal="right" vertical="center"/>
    </xf>
    <xf numFmtId="164" fontId="121" fillId="0" borderId="0" xfId="0" applyNumberFormat="1" applyFont="1" applyAlignment="1">
      <alignment horizontal="right" vertical="center"/>
    </xf>
    <xf numFmtId="172" fontId="0" fillId="0" borderId="0" xfId="0" applyNumberFormat="1" applyAlignment="1">
      <alignment horizontal="center" vertical="center"/>
    </xf>
    <xf numFmtId="164" fontId="122" fillId="17" borderId="2" xfId="0" applyNumberFormat="1" applyFont="1" applyFill="1" applyBorder="1" applyAlignment="1">
      <alignment horizontal="right" vertical="center"/>
    </xf>
    <xf numFmtId="0" fontId="123" fillId="0" borderId="2" xfId="0" applyFont="1" applyBorder="1" applyAlignment="1">
      <alignment horizontal="left" vertical="center"/>
    </xf>
    <xf numFmtId="0" fontId="124" fillId="0" borderId="2" xfId="0" applyFont="1" applyBorder="1" applyAlignment="1">
      <alignment horizontal="left" vertical="center"/>
    </xf>
    <xf numFmtId="173" fontId="93" fillId="17" borderId="4" xfId="0" applyNumberFormat="1" applyFont="1" applyFill="1" applyBorder="1" applyAlignment="1">
      <alignment horizontal="right" vertical="center"/>
    </xf>
    <xf numFmtId="0" fontId="126" fillId="13" borderId="2" xfId="0" applyFont="1" applyFill="1" applyBorder="1" applyAlignment="1">
      <alignment horizontal="left" vertical="center"/>
    </xf>
    <xf numFmtId="0" fontId="127" fillId="0" borderId="2" xfId="0" applyFont="1" applyBorder="1" applyAlignment="1">
      <alignment horizontal="left" vertical="center" wrapText="1"/>
    </xf>
    <xf numFmtId="0" fontId="128" fillId="0" borderId="2" xfId="0" applyFont="1" applyBorder="1" applyAlignment="1">
      <alignment horizontal="left" vertical="center" wrapText="1"/>
    </xf>
    <xf numFmtId="0" fontId="129" fillId="12" borderId="4" xfId="0" applyFont="1" applyFill="1" applyBorder="1" applyAlignment="1">
      <alignment horizontal="left" vertical="center"/>
    </xf>
    <xf numFmtId="0" fontId="130" fillId="12" borderId="4" xfId="0" applyFont="1" applyFill="1" applyBorder="1" applyAlignment="1">
      <alignment horizontal="center" vertical="center"/>
    </xf>
    <xf numFmtId="0" fontId="131" fillId="12" borderId="4" xfId="0" applyFont="1" applyFill="1" applyBorder="1" applyAlignment="1">
      <alignment vertical="center"/>
    </xf>
    <xf numFmtId="0" fontId="132" fillId="0" borderId="2" xfId="0" applyFont="1" applyBorder="1" applyAlignment="1">
      <alignment horizontal="left" vertical="center" wrapText="1"/>
    </xf>
    <xf numFmtId="0" fontId="126" fillId="0" borderId="2" xfId="0" applyFont="1" applyBorder="1" applyAlignment="1">
      <alignment horizontal="left" vertical="center" wrapText="1"/>
    </xf>
    <xf numFmtId="0" fontId="126" fillId="8" borderId="2" xfId="0" applyFont="1" applyFill="1" applyBorder="1" applyAlignment="1">
      <alignment horizontal="left" vertical="center" wrapText="1"/>
    </xf>
    <xf numFmtId="0" fontId="133" fillId="0" borderId="2" xfId="0" applyFont="1" applyBorder="1" applyAlignment="1">
      <alignment horizontal="left" vertical="center" wrapText="1"/>
    </xf>
    <xf numFmtId="10" fontId="42" fillId="13" borderId="0" xfId="0" applyNumberFormat="1" applyFont="1" applyFill="1" applyAlignment="1">
      <alignment horizontal="right" vertical="center"/>
    </xf>
    <xf numFmtId="1" fontId="51" fillId="13" borderId="0" xfId="0" applyNumberFormat="1" applyFont="1" applyFill="1" applyAlignment="1">
      <alignment horizontal="right" vertical="center"/>
    </xf>
    <xf numFmtId="167" fontId="0" fillId="0" borderId="8" xfId="0" applyNumberFormat="1" applyBorder="1" applyAlignment="1">
      <alignment wrapText="1"/>
    </xf>
    <xf numFmtId="0" fontId="0" fillId="0" borderId="8" xfId="0" applyBorder="1"/>
    <xf numFmtId="2" fontId="0" fillId="0" borderId="8" xfId="0" applyNumberFormat="1" applyBorder="1" applyAlignment="1">
      <alignment wrapText="1"/>
    </xf>
    <xf numFmtId="0" fontId="134" fillId="0" borderId="2" xfId="0" applyFont="1" applyBorder="1" applyAlignment="1">
      <alignment horizontal="left" vertical="center" wrapText="1"/>
    </xf>
    <xf numFmtId="0" fontId="126" fillId="5" borderId="2" xfId="0" applyFont="1" applyFill="1" applyBorder="1" applyAlignment="1">
      <alignment horizontal="left" vertical="center"/>
    </xf>
    <xf numFmtId="164" fontId="122" fillId="2" borderId="2" xfId="0" applyNumberFormat="1" applyFont="1" applyFill="1" applyBorder="1" applyAlignment="1">
      <alignment horizontal="right" vertical="center"/>
    </xf>
    <xf numFmtId="0" fontId="135" fillId="5" borderId="0" xfId="0" applyFont="1" applyFill="1"/>
    <xf numFmtId="9" fontId="51" fillId="13" borderId="2" xfId="0" applyNumberFormat="1" applyFont="1" applyFill="1" applyBorder="1" applyAlignment="1">
      <alignment horizontal="right" vertical="center"/>
    </xf>
    <xf numFmtId="1" fontId="50" fillId="0" borderId="2" xfId="0" applyNumberFormat="1" applyFont="1" applyBorder="1" applyAlignment="1">
      <alignment horizontal="right" vertical="center"/>
    </xf>
    <xf numFmtId="1" fontId="9" fillId="0" borderId="2" xfId="0" applyNumberFormat="1" applyFont="1" applyBorder="1" applyAlignment="1">
      <alignment horizontal="right" vertical="center"/>
    </xf>
    <xf numFmtId="172" fontId="14" fillId="0" borderId="2" xfId="0" applyNumberFormat="1" applyFont="1" applyBorder="1" applyAlignment="1">
      <alignment horizontal="right" vertical="center"/>
    </xf>
    <xf numFmtId="1" fontId="56" fillId="0" borderId="2" xfId="0" applyNumberFormat="1" applyFont="1" applyBorder="1" applyAlignment="1">
      <alignment horizontal="right" vertical="center"/>
    </xf>
    <xf numFmtId="1" fontId="57" fillId="0" borderId="2" xfId="0" applyNumberFormat="1" applyFont="1" applyBorder="1" applyAlignment="1">
      <alignment horizontal="right" vertical="center"/>
    </xf>
    <xf numFmtId="1" fontId="59" fillId="0" borderId="2" xfId="0" applyNumberFormat="1" applyFont="1" applyBorder="1" applyAlignment="1">
      <alignment horizontal="right" vertical="center"/>
    </xf>
    <xf numFmtId="1" fontId="60" fillId="0" borderId="2" xfId="0" applyNumberFormat="1" applyFont="1" applyBorder="1" applyAlignment="1">
      <alignment horizontal="right" vertical="center"/>
    </xf>
    <xf numFmtId="0" fontId="63" fillId="2" borderId="9" xfId="0" applyFont="1" applyFill="1" applyBorder="1" applyAlignment="1">
      <alignment horizontal="center" vertical="center" wrapText="1"/>
    </xf>
    <xf numFmtId="0" fontId="63" fillId="3" borderId="9" xfId="0" applyFont="1" applyFill="1" applyBorder="1" applyAlignment="1">
      <alignment horizontal="center" vertical="center" wrapText="1"/>
    </xf>
    <xf numFmtId="0" fontId="63" fillId="6" borderId="9" xfId="0" applyFont="1" applyFill="1" applyBorder="1" applyAlignment="1">
      <alignment horizontal="center" vertical="center" wrapText="1"/>
    </xf>
    <xf numFmtId="0" fontId="63" fillId="12" borderId="9" xfId="0" applyFont="1" applyFill="1" applyBorder="1" applyAlignment="1">
      <alignment horizontal="center" vertical="center" wrapText="1"/>
    </xf>
    <xf numFmtId="0" fontId="63" fillId="20" borderId="9" xfId="0" applyFont="1" applyFill="1" applyBorder="1" applyAlignment="1">
      <alignment horizontal="center" vertical="center" wrapText="1"/>
    </xf>
    <xf numFmtId="0" fontId="63" fillId="17" borderId="9" xfId="0" applyFont="1" applyFill="1" applyBorder="1" applyAlignment="1">
      <alignment horizontal="center" vertical="center" wrapText="1"/>
    </xf>
    <xf numFmtId="0" fontId="63" fillId="15" borderId="9" xfId="0" applyFont="1" applyFill="1" applyBorder="1" applyAlignment="1">
      <alignment horizontal="center" vertical="center" wrapText="1"/>
    </xf>
    <xf numFmtId="0" fontId="0" fillId="0" borderId="9" xfId="0" applyBorder="1"/>
    <xf numFmtId="164" fontId="88" fillId="16" borderId="10" xfId="0" applyNumberFormat="1" applyFont="1" applyFill="1" applyBorder="1" applyAlignment="1">
      <alignment horizontal="center" vertical="center"/>
    </xf>
    <xf numFmtId="171" fontId="47" fillId="16" borderId="10" xfId="0" applyNumberFormat="1" applyFont="1" applyFill="1" applyBorder="1" applyAlignment="1">
      <alignment horizontal="right" vertical="center"/>
    </xf>
    <xf numFmtId="0" fontId="63" fillId="10" borderId="9" xfId="0" applyFont="1" applyFill="1" applyBorder="1" applyAlignment="1">
      <alignment horizontal="center" vertical="center" wrapText="1"/>
    </xf>
    <xf numFmtId="0" fontId="63" fillId="11" borderId="9" xfId="0" applyFont="1" applyFill="1" applyBorder="1" applyAlignment="1">
      <alignment horizontal="center" vertical="center" wrapText="1"/>
    </xf>
    <xf numFmtId="0" fontId="63" fillId="6" borderId="9" xfId="0" applyFont="1" applyFill="1" applyBorder="1" applyAlignment="1">
      <alignment horizontal="center" vertical="center"/>
    </xf>
    <xf numFmtId="0" fontId="63" fillId="2" borderId="9" xfId="0" applyFont="1" applyFill="1" applyBorder="1" applyAlignment="1">
      <alignment horizontal="center" vertical="center"/>
    </xf>
    <xf numFmtId="0" fontId="30" fillId="16" borderId="11" xfId="0" applyFont="1" applyFill="1" applyBorder="1" applyAlignment="1">
      <alignment horizontal="left" vertical="center"/>
    </xf>
    <xf numFmtId="167" fontId="89" fillId="16" borderId="11" xfId="0" applyNumberFormat="1" applyFont="1" applyFill="1" applyBorder="1" applyAlignment="1">
      <alignment horizontal="center" vertical="center"/>
    </xf>
    <xf numFmtId="0" fontId="93" fillId="12" borderId="9" xfId="0" applyFont="1" applyFill="1" applyBorder="1" applyAlignment="1">
      <alignment horizontal="left" vertical="center"/>
    </xf>
    <xf numFmtId="173" fontId="61" fillId="12" borderId="9" xfId="0" applyNumberFormat="1" applyFont="1" applyFill="1" applyBorder="1" applyAlignment="1">
      <alignment horizontal="right" vertical="center"/>
    </xf>
    <xf numFmtId="167" fontId="93" fillId="12" borderId="9" xfId="0" applyNumberFormat="1" applyFont="1" applyFill="1" applyBorder="1" applyAlignment="1">
      <alignment horizontal="center" vertical="center"/>
    </xf>
    <xf numFmtId="0" fontId="0" fillId="12" borderId="9" xfId="0" applyFill="1" applyBorder="1"/>
    <xf numFmtId="0" fontId="5" fillId="2" borderId="9" xfId="0" applyFont="1" applyFill="1" applyBorder="1" applyAlignment="1">
      <alignment horizontal="center" vertical="center" wrapText="1"/>
    </xf>
    <xf numFmtId="0" fontId="5" fillId="17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indent="1"/>
    </xf>
    <xf numFmtId="0" fontId="5" fillId="2" borderId="9" xfId="0" applyFont="1" applyFill="1" applyBorder="1" applyAlignment="1">
      <alignment horizontal="center" vertical="center"/>
    </xf>
    <xf numFmtId="0" fontId="0" fillId="4" borderId="9" xfId="0" applyFill="1" applyBorder="1"/>
    <xf numFmtId="0" fontId="63" fillId="10" borderId="9" xfId="0" applyFont="1" applyFill="1" applyBorder="1" applyAlignment="1">
      <alignment horizontal="center" vertical="center"/>
    </xf>
    <xf numFmtId="0" fontId="55" fillId="9" borderId="9" xfId="0" applyFont="1" applyFill="1" applyBorder="1" applyAlignment="1">
      <alignment horizontal="left" vertical="center"/>
    </xf>
    <xf numFmtId="164" fontId="55" fillId="9" borderId="9" xfId="0" applyNumberFormat="1" applyFont="1" applyFill="1" applyBorder="1" applyAlignment="1">
      <alignment horizontal="right" vertical="center"/>
    </xf>
    <xf numFmtId="0" fontId="66" fillId="8" borderId="9" xfId="0" applyFont="1" applyFill="1" applyBorder="1"/>
    <xf numFmtId="164" fontId="66" fillId="8" borderId="9" xfId="0" applyNumberFormat="1" applyFont="1" applyFill="1" applyBorder="1" applyAlignment="1">
      <alignment horizontal="right"/>
    </xf>
    <xf numFmtId="169" fontId="46" fillId="8" borderId="11" xfId="0" applyNumberFormat="1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left" vertical="center"/>
    </xf>
    <xf numFmtId="164" fontId="7" fillId="4" borderId="9" xfId="0" applyNumberFormat="1" applyFont="1" applyFill="1" applyBorder="1" applyAlignment="1">
      <alignment horizontal="right" vertical="center"/>
    </xf>
    <xf numFmtId="168" fontId="55" fillId="9" borderId="9" xfId="0" applyNumberFormat="1" applyFont="1" applyFill="1" applyBorder="1" applyAlignment="1">
      <alignment horizontal="right" vertical="center"/>
    </xf>
    <xf numFmtId="0" fontId="66" fillId="8" borderId="9" xfId="0" applyFont="1" applyFill="1" applyBorder="1" applyAlignment="1">
      <alignment horizontal="left" vertical="center"/>
    </xf>
    <xf numFmtId="167" fontId="66" fillId="8" borderId="9" xfId="0" applyNumberFormat="1" applyFont="1" applyFill="1" applyBorder="1" applyAlignment="1">
      <alignment horizontal="right" vertical="center"/>
    </xf>
    <xf numFmtId="0" fontId="58" fillId="7" borderId="9" xfId="0" applyFont="1" applyFill="1" applyBorder="1" applyAlignment="1">
      <alignment horizontal="left" vertical="center"/>
    </xf>
    <xf numFmtId="168" fontId="58" fillId="7" borderId="9" xfId="0" applyNumberFormat="1" applyFont="1" applyFill="1" applyBorder="1" applyAlignment="1">
      <alignment horizontal="right" vertical="center"/>
    </xf>
    <xf numFmtId="164" fontId="58" fillId="7" borderId="9" xfId="0" applyNumberFormat="1" applyFont="1" applyFill="1" applyBorder="1" applyAlignment="1">
      <alignment horizontal="right"/>
    </xf>
    <xf numFmtId="164" fontId="49" fillId="9" borderId="9" xfId="0" applyNumberFormat="1" applyFont="1" applyFill="1" applyBorder="1" applyAlignment="1">
      <alignment horizontal="right"/>
    </xf>
    <xf numFmtId="0" fontId="49" fillId="16" borderId="9" xfId="0" applyFont="1" applyFill="1" applyBorder="1" applyAlignment="1">
      <alignment horizontal="left" vertical="center"/>
    </xf>
    <xf numFmtId="164" fontId="31" fillId="16" borderId="9" xfId="0" applyNumberFormat="1" applyFont="1" applyFill="1" applyBorder="1" applyAlignment="1">
      <alignment horizontal="right"/>
    </xf>
    <xf numFmtId="0" fontId="0" fillId="5" borderId="9" xfId="0" applyFill="1" applyBorder="1"/>
    <xf numFmtId="0" fontId="16" fillId="7" borderId="9" xfId="0" applyFont="1" applyFill="1" applyBorder="1" applyAlignment="1">
      <alignment horizontal="left" vertical="center"/>
    </xf>
    <xf numFmtId="168" fontId="16" fillId="7" borderId="9" xfId="0" applyNumberFormat="1" applyFont="1" applyFill="1" applyBorder="1" applyAlignment="1">
      <alignment horizontal="right" vertical="center"/>
    </xf>
    <xf numFmtId="0" fontId="28" fillId="4" borderId="9" xfId="0" applyFont="1" applyFill="1" applyBorder="1" applyAlignment="1">
      <alignment horizontal="left" vertical="center"/>
    </xf>
    <xf numFmtId="168" fontId="28" fillId="4" borderId="9" xfId="0" applyNumberFormat="1" applyFont="1" applyFill="1" applyBorder="1" applyAlignment="1">
      <alignment horizontal="right" vertical="center"/>
    </xf>
    <xf numFmtId="168" fontId="66" fillId="8" borderId="9" xfId="0" applyNumberFormat="1" applyFont="1" applyFill="1" applyBorder="1" applyAlignment="1">
      <alignment horizontal="right" vertical="center"/>
    </xf>
    <xf numFmtId="0" fontId="42" fillId="13" borderId="9" xfId="0" applyFont="1" applyFill="1" applyBorder="1" applyAlignment="1">
      <alignment horizontal="left" vertical="center"/>
    </xf>
    <xf numFmtId="168" fontId="42" fillId="13" borderId="9" xfId="0" applyNumberFormat="1" applyFont="1" applyFill="1" applyBorder="1" applyAlignment="1">
      <alignment horizontal="right" vertical="center"/>
    </xf>
    <xf numFmtId="0" fontId="51" fillId="13" borderId="9" xfId="0" applyFont="1" applyFill="1" applyBorder="1" applyAlignment="1">
      <alignment horizontal="left" vertical="center"/>
    </xf>
    <xf numFmtId="167" fontId="51" fillId="13" borderId="9" xfId="0" applyNumberFormat="1" applyFont="1" applyFill="1" applyBorder="1" applyAlignment="1">
      <alignment horizontal="right" vertical="center"/>
    </xf>
    <xf numFmtId="164" fontId="47" fillId="16" borderId="11" xfId="0" applyNumberFormat="1" applyFont="1" applyFill="1" applyBorder="1" applyAlignment="1">
      <alignment horizontal="right" vertical="center"/>
    </xf>
    <xf numFmtId="0" fontId="69" fillId="18" borderId="9" xfId="0" applyFont="1" applyFill="1" applyBorder="1" applyAlignment="1">
      <alignment horizontal="left" vertical="center"/>
    </xf>
    <xf numFmtId="168" fontId="70" fillId="18" borderId="9" xfId="0" applyNumberFormat="1" applyFont="1" applyFill="1" applyBorder="1" applyAlignment="1">
      <alignment horizontal="right" vertical="center"/>
    </xf>
    <xf numFmtId="0" fontId="70" fillId="18" borderId="9" xfId="0" applyFont="1" applyFill="1" applyBorder="1" applyAlignment="1">
      <alignment horizontal="left" vertical="center"/>
    </xf>
    <xf numFmtId="167" fontId="70" fillId="18" borderId="9" xfId="0" applyNumberFormat="1" applyFont="1" applyFill="1" applyBorder="1" applyAlignment="1">
      <alignment horizontal="right" vertical="center"/>
    </xf>
    <xf numFmtId="168" fontId="23" fillId="9" borderId="9" xfId="0" applyNumberFormat="1" applyFont="1" applyFill="1" applyBorder="1" applyAlignment="1">
      <alignment horizontal="right" vertical="center"/>
    </xf>
    <xf numFmtId="168" fontId="72" fillId="8" borderId="9" xfId="0" applyNumberFormat="1" applyFont="1" applyFill="1" applyBorder="1" applyAlignment="1">
      <alignment horizontal="right" vertical="center"/>
    </xf>
    <xf numFmtId="168" fontId="17" fillId="7" borderId="9" xfId="0" applyNumberFormat="1" applyFont="1" applyFill="1" applyBorder="1" applyAlignment="1">
      <alignment horizontal="right" vertical="center"/>
    </xf>
    <xf numFmtId="168" fontId="29" fillId="4" borderId="9" xfId="0" applyNumberFormat="1" applyFont="1" applyFill="1" applyBorder="1" applyAlignment="1">
      <alignment horizontal="right" vertical="center"/>
    </xf>
    <xf numFmtId="168" fontId="36" fillId="13" borderId="9" xfId="0" applyNumberFormat="1" applyFont="1" applyFill="1" applyBorder="1" applyAlignment="1">
      <alignment horizontal="right" vertical="center"/>
    </xf>
    <xf numFmtId="167" fontId="19" fillId="8" borderId="9" xfId="0" applyNumberFormat="1" applyFont="1" applyFill="1" applyBorder="1" applyAlignment="1">
      <alignment horizontal="right" vertical="center"/>
    </xf>
    <xf numFmtId="168" fontId="21" fillId="9" borderId="9" xfId="0" applyNumberFormat="1" applyFont="1" applyFill="1" applyBorder="1" applyAlignment="1">
      <alignment horizontal="right" vertical="center"/>
    </xf>
    <xf numFmtId="168" fontId="19" fillId="8" borderId="9" xfId="0" applyNumberFormat="1" applyFont="1" applyFill="1" applyBorder="1" applyAlignment="1">
      <alignment horizontal="right" vertical="center"/>
    </xf>
    <xf numFmtId="168" fontId="15" fillId="7" borderId="9" xfId="0" applyNumberFormat="1" applyFont="1" applyFill="1" applyBorder="1" applyAlignment="1">
      <alignment horizontal="right" vertical="center"/>
    </xf>
    <xf numFmtId="168" fontId="27" fillId="4" borderId="9" xfId="0" applyNumberFormat="1" applyFont="1" applyFill="1" applyBorder="1" applyAlignment="1">
      <alignment horizontal="right" vertical="center"/>
    </xf>
    <xf numFmtId="168" fontId="41" fillId="13" borderId="9" xfId="0" applyNumberFormat="1" applyFont="1" applyFill="1" applyBorder="1" applyAlignment="1">
      <alignment horizontal="right" vertical="center"/>
    </xf>
    <xf numFmtId="0" fontId="23" fillId="9" borderId="12" xfId="0" applyFont="1" applyFill="1" applyBorder="1" applyAlignment="1">
      <alignment horizontal="left" vertical="center"/>
    </xf>
    <xf numFmtId="168" fontId="21" fillId="9" borderId="13" xfId="0" applyNumberFormat="1" applyFont="1" applyFill="1" applyBorder="1" applyAlignment="1">
      <alignment horizontal="right" vertical="center"/>
    </xf>
    <xf numFmtId="0" fontId="72" fillId="8" borderId="12" xfId="0" applyFont="1" applyFill="1" applyBorder="1" applyAlignment="1">
      <alignment horizontal="left" vertical="center"/>
    </xf>
    <xf numFmtId="168" fontId="19" fillId="8" borderId="13" xfId="0" applyNumberFormat="1" applyFont="1" applyFill="1" applyBorder="1" applyAlignment="1">
      <alignment horizontal="right" vertical="center"/>
    </xf>
    <xf numFmtId="0" fontId="17" fillId="7" borderId="12" xfId="0" applyFont="1" applyFill="1" applyBorder="1" applyAlignment="1">
      <alignment horizontal="left" vertical="center"/>
    </xf>
    <xf numFmtId="168" fontId="15" fillId="7" borderId="13" xfId="0" applyNumberFormat="1" applyFont="1" applyFill="1" applyBorder="1" applyAlignment="1">
      <alignment horizontal="right" vertical="center"/>
    </xf>
    <xf numFmtId="0" fontId="29" fillId="4" borderId="12" xfId="0" applyFont="1" applyFill="1" applyBorder="1" applyAlignment="1">
      <alignment horizontal="left" vertical="center"/>
    </xf>
    <xf numFmtId="168" fontId="27" fillId="4" borderId="13" xfId="0" applyNumberFormat="1" applyFont="1" applyFill="1" applyBorder="1" applyAlignment="1">
      <alignment horizontal="right" vertical="center"/>
    </xf>
    <xf numFmtId="0" fontId="36" fillId="13" borderId="12" xfId="0" applyFont="1" applyFill="1" applyBorder="1" applyAlignment="1">
      <alignment horizontal="left" vertical="center"/>
    </xf>
    <xf numFmtId="168" fontId="41" fillId="13" borderId="13" xfId="0" applyNumberFormat="1" applyFont="1" applyFill="1" applyBorder="1" applyAlignment="1">
      <alignment horizontal="right" vertical="center"/>
    </xf>
    <xf numFmtId="0" fontId="36" fillId="13" borderId="14" xfId="0" applyFont="1" applyFill="1" applyBorder="1" applyAlignment="1">
      <alignment horizontal="left" vertical="center"/>
    </xf>
    <xf numFmtId="164" fontId="42" fillId="13" borderId="15" xfId="0" applyNumberFormat="1" applyFont="1" applyFill="1" applyBorder="1" applyAlignment="1">
      <alignment horizontal="right"/>
    </xf>
    <xf numFmtId="0" fontId="0" fillId="0" borderId="15" xfId="0" applyBorder="1"/>
    <xf numFmtId="164" fontId="42" fillId="13" borderId="16" xfId="0" applyNumberFormat="1" applyFont="1" applyFill="1" applyBorder="1" applyAlignment="1">
      <alignment horizontal="right"/>
    </xf>
    <xf numFmtId="168" fontId="30" fillId="9" borderId="9" xfId="0" applyNumberFormat="1" applyFont="1" applyFill="1" applyBorder="1" applyAlignment="1">
      <alignment horizontal="right" vertical="center"/>
    </xf>
    <xf numFmtId="164" fontId="30" fillId="9" borderId="9" xfId="0" applyNumberFormat="1" applyFont="1" applyFill="1" applyBorder="1" applyAlignment="1">
      <alignment horizontal="right" vertical="center"/>
    </xf>
    <xf numFmtId="164" fontId="21" fillId="9" borderId="9" xfId="0" applyNumberFormat="1" applyFont="1" applyFill="1" applyBorder="1" applyAlignment="1">
      <alignment horizontal="right" vertical="center"/>
    </xf>
    <xf numFmtId="169" fontId="46" fillId="9" borderId="9" xfId="0" applyNumberFormat="1" applyFont="1" applyFill="1" applyBorder="1" applyAlignment="1">
      <alignment horizontal="right" vertical="center"/>
    </xf>
    <xf numFmtId="164" fontId="27" fillId="4" borderId="9" xfId="0" applyNumberFormat="1" applyFont="1" applyFill="1" applyBorder="1" applyAlignment="1">
      <alignment horizontal="right" vertical="center"/>
    </xf>
    <xf numFmtId="164" fontId="16" fillId="7" borderId="9" xfId="0" applyNumberFormat="1" applyFont="1" applyFill="1" applyBorder="1" applyAlignment="1">
      <alignment horizontal="right"/>
    </xf>
    <xf numFmtId="164" fontId="31" fillId="9" borderId="9" xfId="0" applyNumberFormat="1" applyFont="1" applyFill="1" applyBorder="1" applyAlignment="1">
      <alignment horizontal="right"/>
    </xf>
    <xf numFmtId="167" fontId="41" fillId="13" borderId="9" xfId="0" applyNumberFormat="1" applyFont="1" applyFill="1" applyBorder="1" applyAlignment="1">
      <alignment horizontal="right" vertical="center"/>
    </xf>
    <xf numFmtId="168" fontId="71" fillId="18" borderId="9" xfId="0" applyNumberFormat="1" applyFont="1" applyFill="1" applyBorder="1" applyAlignment="1">
      <alignment horizontal="right" vertical="center"/>
    </xf>
    <xf numFmtId="167" fontId="71" fillId="18" borderId="9" xfId="0" applyNumberFormat="1" applyFont="1" applyFill="1" applyBorder="1" applyAlignment="1">
      <alignment horizontal="right" vertical="center"/>
    </xf>
    <xf numFmtId="164" fontId="58" fillId="7" borderId="17" xfId="0" applyNumberFormat="1" applyFont="1" applyFill="1" applyBorder="1" applyAlignment="1">
      <alignment horizontal="right"/>
    </xf>
    <xf numFmtId="164" fontId="47" fillId="16" borderId="18" xfId="0" applyNumberFormat="1" applyFont="1" applyFill="1" applyBorder="1" applyAlignment="1">
      <alignment horizontal="right" vertical="center"/>
    </xf>
    <xf numFmtId="164" fontId="47" fillId="16" borderId="19" xfId="0" applyNumberFormat="1" applyFont="1" applyFill="1" applyBorder="1" applyAlignment="1">
      <alignment horizontal="right" vertical="center"/>
    </xf>
    <xf numFmtId="164" fontId="47" fillId="16" borderId="20" xfId="0" applyNumberFormat="1" applyFont="1" applyFill="1" applyBorder="1" applyAlignment="1">
      <alignment horizontal="right" vertical="center"/>
    </xf>
    <xf numFmtId="164" fontId="47" fillId="16" borderId="21" xfId="0" applyNumberFormat="1" applyFont="1" applyFill="1" applyBorder="1" applyAlignment="1">
      <alignment horizontal="right" vertical="center"/>
    </xf>
    <xf numFmtId="0" fontId="72" fillId="8" borderId="22" xfId="0" applyFont="1" applyFill="1" applyBorder="1" applyAlignment="1">
      <alignment horizontal="left" vertical="center"/>
    </xf>
    <xf numFmtId="167" fontId="72" fillId="8" borderId="17" xfId="0" applyNumberFormat="1" applyFont="1" applyFill="1" applyBorder="1" applyAlignment="1">
      <alignment horizontal="right" vertical="center"/>
    </xf>
    <xf numFmtId="0" fontId="0" fillId="0" borderId="17" xfId="0" applyBorder="1"/>
    <xf numFmtId="167" fontId="19" fillId="8" borderId="23" xfId="0" applyNumberFormat="1" applyFont="1" applyFill="1" applyBorder="1" applyAlignment="1">
      <alignment horizontal="right" vertical="center"/>
    </xf>
    <xf numFmtId="0" fontId="137" fillId="21" borderId="8" xfId="0" applyFont="1" applyFill="1" applyBorder="1" applyAlignment="1">
      <alignment horizontal="center" vertical="center" wrapText="1"/>
    </xf>
    <xf numFmtId="0" fontId="137" fillId="8" borderId="8" xfId="0" applyFont="1" applyFill="1" applyBorder="1" applyAlignment="1">
      <alignment horizontal="center" vertical="center" wrapText="1"/>
    </xf>
    <xf numFmtId="0" fontId="137" fillId="22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0" fillId="12" borderId="9" xfId="0" applyFill="1" applyBorder="1"/>
    <xf numFmtId="0" fontId="0" fillId="17" borderId="9" xfId="0" applyFill="1" applyBorder="1"/>
    <xf numFmtId="0" fontId="0" fillId="6" borderId="9" xfId="0" applyFill="1" applyBorder="1"/>
    <xf numFmtId="0" fontId="0" fillId="3" borderId="9" xfId="0" applyFill="1" applyBorder="1"/>
    <xf numFmtId="0" fontId="118" fillId="2" borderId="9" xfId="0" applyFont="1" applyFill="1" applyBorder="1" applyAlignment="1">
      <alignment horizontal="center" vertical="center"/>
    </xf>
    <xf numFmtId="0" fontId="118" fillId="12" borderId="9" xfId="0" applyFont="1" applyFill="1" applyBorder="1" applyAlignment="1">
      <alignment horizontal="center" vertical="center"/>
    </xf>
    <xf numFmtId="0" fontId="118" fillId="17" borderId="9" xfId="0" applyFont="1" applyFill="1" applyBorder="1" applyAlignment="1">
      <alignment horizontal="center" vertical="center"/>
    </xf>
    <xf numFmtId="0" fontId="118" fillId="6" borderId="9" xfId="0" applyFont="1" applyFill="1" applyBorder="1" applyAlignment="1">
      <alignment horizontal="center" vertical="center"/>
    </xf>
    <xf numFmtId="0" fontId="118" fillId="3" borderId="9" xfId="0" applyFont="1" applyFill="1" applyBorder="1" applyAlignment="1">
      <alignment horizontal="center" vertical="center"/>
    </xf>
    <xf numFmtId="0" fontId="117" fillId="2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0" fillId="1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67" fillId="7" borderId="0" xfId="0" applyFont="1" applyFill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/>
    </xf>
    <xf numFmtId="0" fontId="61" fillId="17" borderId="9" xfId="0" applyFont="1" applyFill="1" applyBorder="1" applyAlignment="1">
      <alignment horizontal="center" vertical="center"/>
    </xf>
    <xf numFmtId="0" fontId="62" fillId="2" borderId="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left" vertical="center"/>
    </xf>
    <xf numFmtId="0" fontId="13" fillId="17" borderId="0" xfId="0" applyFont="1" applyFill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0" fontId="87" fillId="16" borderId="0" xfId="0" applyFont="1" applyFill="1" applyAlignment="1">
      <alignment horizontal="left" vertical="center" wrapText="1"/>
    </xf>
    <xf numFmtId="0" fontId="79" fillId="17" borderId="9" xfId="0" applyFont="1" applyFill="1" applyBorder="1" applyAlignment="1">
      <alignment horizontal="left" vertical="center"/>
    </xf>
    <xf numFmtId="0" fontId="6" fillId="10" borderId="9" xfId="0" applyFont="1" applyFill="1" applyBorder="1" applyAlignment="1">
      <alignment horizontal="left" vertical="center"/>
    </xf>
    <xf numFmtId="0" fontId="82" fillId="0" borderId="0" xfId="0" applyFont="1"/>
    <xf numFmtId="0" fontId="6" fillId="12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1" fillId="2" borderId="9" xfId="0" applyFont="1" applyFill="1" applyBorder="1" applyAlignment="1">
      <alignment horizontal="center" vertical="center"/>
    </xf>
    <xf numFmtId="0" fontId="73" fillId="6" borderId="9" xfId="0" applyFont="1" applyFill="1" applyBorder="1" applyAlignment="1">
      <alignment horizontal="center" vertical="center"/>
    </xf>
    <xf numFmtId="0" fontId="104" fillId="7" borderId="0" xfId="0" applyFont="1" applyFill="1" applyAlignment="1">
      <alignment horizontal="center" vertical="center"/>
    </xf>
    <xf numFmtId="0" fontId="105" fillId="9" borderId="0" xfId="0" applyFont="1" applyFill="1" applyAlignment="1">
      <alignment horizontal="center" vertical="center"/>
    </xf>
    <xf numFmtId="0" fontId="106" fillId="18" borderId="0" xfId="0" applyFont="1" applyFill="1" applyAlignment="1">
      <alignment horizontal="center" vertical="center"/>
    </xf>
    <xf numFmtId="0" fontId="104" fillId="16" borderId="0" xfId="0" applyFont="1" applyFill="1" applyAlignment="1">
      <alignment horizontal="center" vertical="center"/>
    </xf>
    <xf numFmtId="167" fontId="101" fillId="7" borderId="4" xfId="0" applyNumberFormat="1" applyFont="1" applyFill="1" applyBorder="1" applyAlignment="1">
      <alignment horizontal="center" vertical="center"/>
    </xf>
    <xf numFmtId="164" fontId="102" fillId="9" borderId="4" xfId="0" applyNumberFormat="1" applyFont="1" applyFill="1" applyBorder="1" applyAlignment="1">
      <alignment horizontal="center" vertical="center"/>
    </xf>
    <xf numFmtId="164" fontId="103" fillId="18" borderId="4" xfId="0" applyNumberFormat="1" applyFont="1" applyFill="1" applyBorder="1" applyAlignment="1">
      <alignment horizontal="center" vertical="center"/>
    </xf>
    <xf numFmtId="168" fontId="101" fillId="16" borderId="4" xfId="0" applyNumberFormat="1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98" fillId="7" borderId="0" xfId="0" applyFont="1" applyFill="1" applyAlignment="1">
      <alignment horizontal="center" vertical="center"/>
    </xf>
    <xf numFmtId="0" fontId="99" fillId="9" borderId="0" xfId="0" applyFont="1" applyFill="1" applyAlignment="1">
      <alignment horizontal="center" vertical="center"/>
    </xf>
    <xf numFmtId="0" fontId="100" fillId="18" borderId="0" xfId="0" applyFont="1" applyFill="1" applyAlignment="1">
      <alignment horizontal="center" vertical="center"/>
    </xf>
    <xf numFmtId="0" fontId="98" fillId="16" borderId="0" xfId="0" applyFont="1" applyFill="1" applyAlignment="1">
      <alignment horizontal="center" vertical="center"/>
    </xf>
    <xf numFmtId="0" fontId="136" fillId="0" borderId="2" xfId="0" applyFont="1" applyBorder="1" applyAlignment="1">
      <alignment horizontal="left" vertical="center"/>
    </xf>
    <xf numFmtId="0" fontId="85" fillId="0" borderId="2" xfId="0" applyFont="1" applyBorder="1" applyAlignment="1">
      <alignment horizontal="left" vertical="center"/>
    </xf>
    <xf numFmtId="0" fontId="6" fillId="17" borderId="9" xfId="0" applyFont="1" applyFill="1" applyBorder="1" applyAlignment="1">
      <alignment horizontal="left" vertical="center"/>
    </xf>
    <xf numFmtId="0" fontId="125" fillId="2" borderId="9" xfId="0" applyFont="1" applyFill="1" applyBorder="1" applyAlignment="1">
      <alignment horizontal="left" vertical="center"/>
    </xf>
    <xf numFmtId="0" fontId="90" fillId="1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1" fillId="10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left" vertical="center"/>
    </xf>
    <xf numFmtId="0" fontId="93" fillId="17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F9F9F9"/>
      <rgbColor rgb="FF9C0006"/>
      <rgbColor rgb="FF006100"/>
      <rgbColor rgb="FF1A237E"/>
      <rgbColor rgb="FF87A44B"/>
      <rgbColor rgb="FF800080"/>
      <rgbColor rgb="FF00695C"/>
      <rgbColor rgb="FFBDBDBD"/>
      <rgbColor rgb="FF878787"/>
      <rgbColor rgb="FF8EA5CA"/>
      <rgbColor rgb="FFAA433F"/>
      <rgbColor rgb="FFFFFDE7"/>
      <rgbColor rgb="FFE0F2F1"/>
      <rgbColor rgb="FF660066"/>
      <rgbColor rgb="FFCC8F8E"/>
      <rgbColor rgb="FF1565C0"/>
      <rgbColor rgb="FFD9D9D9"/>
      <rgbColor rgb="FF000080"/>
      <rgbColor rgb="FFFF00FF"/>
      <rgbColor rgb="FFFFEBEE"/>
      <rgbColor rgb="FFFAFAFA"/>
      <rgbColor rgb="FF800080"/>
      <rgbColor rgb="FF800000"/>
      <rgbColor rgb="FF2E7D32"/>
      <rgbColor rgb="FF0000FF"/>
      <rgbColor rgb="FF00CCFF"/>
      <rgbColor rgb="FFE3F2FD"/>
      <rgbColor rgb="FFC6EFCE"/>
      <rgbColor rgb="FFFFF3E0"/>
      <rgbColor rgb="FF8CBFD2"/>
      <rgbColor rgb="FFF5B089"/>
      <rgbColor rgb="FFEDE7F6"/>
      <rgbColor rgb="FFFFC7CE"/>
      <rgbColor rgb="FF3366FF"/>
      <rgbColor rgb="FFF0F0F0"/>
      <rgbColor rgb="FFB3C992"/>
      <rgbColor rgb="FFDB8238"/>
      <rgbColor rgb="FFF57F17"/>
      <rgbColor rgb="FFE65100"/>
      <rgbColor rgb="FF6F568D"/>
      <rgbColor rgb="FFA596B9"/>
      <rgbColor rgb="FF0D2B55"/>
      <rgbColor rgb="FF3D97AF"/>
      <rgbColor rgb="FF003300"/>
      <rgbColor rgb="FF1B5E20"/>
      <rgbColor rgb="FFC62828"/>
      <rgbColor rgb="FF757575"/>
      <rgbColor rgb="FF4527A0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Ingresos y EBITDA Mensual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Ingresos (S/)</c:v>
                </c:pt>
              </c:strCache>
            </c:strRef>
          </c:tx>
          <c:spPr>
            <a:solidFill>
              <a:srgbClr val="0D2B55"/>
            </a:solidFill>
            <a:ln w="9360">
              <a:solidFill>
                <a:srgbClr val="0D2B5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Dashboard!$B$9:$B$20</c:f>
              <c:numCache>
                <c:formatCode>#,##0;\(#,##0\);\-</c:formatCode>
                <c:ptCount val="12"/>
                <c:pt idx="0">
                  <c:v>192370.04</c:v>
                </c:pt>
                <c:pt idx="1">
                  <c:v>214297.38</c:v>
                </c:pt>
                <c:pt idx="2">
                  <c:v>159044.24</c:v>
                </c:pt>
                <c:pt idx="3">
                  <c:v>162394.91</c:v>
                </c:pt>
                <c:pt idx="4">
                  <c:v>146655.75</c:v>
                </c:pt>
                <c:pt idx="5">
                  <c:v>148722.4</c:v>
                </c:pt>
                <c:pt idx="6">
                  <c:v>185458.76</c:v>
                </c:pt>
                <c:pt idx="7">
                  <c:v>177730.07</c:v>
                </c:pt>
                <c:pt idx="8">
                  <c:v>139427.16</c:v>
                </c:pt>
                <c:pt idx="9">
                  <c:v>144036.01</c:v>
                </c:pt>
                <c:pt idx="10">
                  <c:v>140103.32</c:v>
                </c:pt>
                <c:pt idx="11">
                  <c:v>192603.92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A-420A-BFCA-CECA28567655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EBITDA (S/)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2E7D3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Dashboard!$C$9:$C$20</c:f>
              <c:numCache>
                <c:formatCode>0</c:formatCode>
                <c:ptCount val="12"/>
                <c:pt idx="0">
                  <c:v>24915.24000000002</c:v>
                </c:pt>
                <c:pt idx="1">
                  <c:v>32649.420000000013</c:v>
                </c:pt>
                <c:pt idx="2">
                  <c:v>41786.149999999987</c:v>
                </c:pt>
                <c:pt idx="3">
                  <c:v>13391.859999999986</c:v>
                </c:pt>
                <c:pt idx="4">
                  <c:v>6665.3000000000175</c:v>
                </c:pt>
                <c:pt idx="5">
                  <c:v>-6522.320000000007</c:v>
                </c:pt>
                <c:pt idx="6">
                  <c:v>19179.989999999983</c:v>
                </c:pt>
                <c:pt idx="7">
                  <c:v>30010.350000000013</c:v>
                </c:pt>
                <c:pt idx="8">
                  <c:v>-12397.239999999983</c:v>
                </c:pt>
                <c:pt idx="9">
                  <c:v>-13120.409999999996</c:v>
                </c:pt>
                <c:pt idx="10">
                  <c:v>-7589.2999999999884</c:v>
                </c:pt>
                <c:pt idx="11">
                  <c:v>36703.550000000017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A-420A-BFCA-CECA28567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24520"/>
        <c:axId val="11487813"/>
      </c:barChart>
      <c:catAx>
        <c:axId val="22224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1487813"/>
        <c:crosses val="autoZero"/>
        <c:auto val="1"/>
        <c:lblAlgn val="ctr"/>
        <c:lblOffset val="100"/>
        <c:noMultiLvlLbl val="0"/>
      </c:catAx>
      <c:valAx>
        <c:axId val="11487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S/ Soles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2224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% Margen EBITDA Mensual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% Margen EBITDA</c:v>
                </c:pt>
              </c:strCache>
            </c:strRef>
          </c:tx>
          <c:spPr>
            <a:ln w="28080">
              <a:solidFill>
                <a:srgbClr val="00695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Dashboard!$F$9:$F$20</c:f>
              <c:numCache>
                <c:formatCode>0.00%</c:formatCode>
                <c:ptCount val="12"/>
                <c:pt idx="0">
                  <c:v>0.12951725746899059</c:v>
                </c:pt>
                <c:pt idx="1">
                  <c:v>0.15235566575755621</c:v>
                </c:pt>
                <c:pt idx="2">
                  <c:v>0.26273287231276021</c:v>
                </c:pt>
                <c:pt idx="3">
                  <c:v>8.2464776759320749E-2</c:v>
                </c:pt>
                <c:pt idx="4">
                  <c:v>4.5448610095410631E-2</c:v>
                </c:pt>
                <c:pt idx="5">
                  <c:v>-4.3855666664873665E-2</c:v>
                </c:pt>
                <c:pt idx="6">
                  <c:v>0.10341916445467436</c:v>
                </c:pt>
                <c:pt idx="7">
                  <c:v>0.16885353165055306</c:v>
                </c:pt>
                <c:pt idx="8">
                  <c:v>-8.8915531235090661E-2</c:v>
                </c:pt>
                <c:pt idx="9">
                  <c:v>-9.1091179212753781E-2</c:v>
                </c:pt>
                <c:pt idx="10">
                  <c:v>-5.4169308764417487E-2</c:v>
                </c:pt>
                <c:pt idx="11">
                  <c:v>0.19056491685112129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19-436F-9CF4-73ED790E8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82759"/>
        <c:axId val="19204930"/>
      </c:lineChart>
      <c:catAx>
        <c:axId val="35827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9204930"/>
        <c:crosses val="autoZero"/>
        <c:auto val="1"/>
        <c:lblAlgn val="ctr"/>
        <c:lblOffset val="100"/>
        <c:noMultiLvlLbl val="0"/>
      </c:catAx>
      <c:valAx>
        <c:axId val="19204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% Margen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582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Composición de Costos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1306712800611"/>
          <c:y val="0.14020772935285239"/>
          <c:w val="0.66985583142407379"/>
          <c:h val="0.79573495938855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Costo Op. Hielo</c:v>
                </c:pt>
              </c:strCache>
            </c:strRef>
          </c:tx>
          <c:spPr>
            <a:solidFill>
              <a:srgbClr val="E651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Dashboard!$D$9:$D$20</c:f>
              <c:numCache>
                <c:formatCode>#,##0;\(#,##0\);\-</c:formatCode>
                <c:ptCount val="12"/>
                <c:pt idx="0">
                  <c:v>48524.7</c:v>
                </c:pt>
                <c:pt idx="1">
                  <c:v>45607.68</c:v>
                </c:pt>
                <c:pt idx="2">
                  <c:v>29201.41</c:v>
                </c:pt>
                <c:pt idx="3">
                  <c:v>47220.97</c:v>
                </c:pt>
                <c:pt idx="4">
                  <c:v>42374.71</c:v>
                </c:pt>
                <c:pt idx="5">
                  <c:v>40723.419999999991</c:v>
                </c:pt>
                <c:pt idx="6">
                  <c:v>42208.210000000006</c:v>
                </c:pt>
                <c:pt idx="7">
                  <c:v>40623.040000000001</c:v>
                </c:pt>
                <c:pt idx="8">
                  <c:v>57081.299999999996</c:v>
                </c:pt>
                <c:pt idx="9">
                  <c:v>38890.379999999997</c:v>
                </c:pt>
                <c:pt idx="10">
                  <c:v>42035.439999999988</c:v>
                </c:pt>
                <c:pt idx="11">
                  <c:v>40961.650000000009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B-4221-9BC1-6E9BD23B4675}"/>
            </c:ext>
          </c:extLst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Personal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Dashboard!$E$9:$E$20</c:f>
              <c:numCache>
                <c:formatCode>#,##0;\(#,##0\);\-</c:formatCode>
                <c:ptCount val="12"/>
                <c:pt idx="0">
                  <c:v>45063.520000000004</c:v>
                </c:pt>
                <c:pt idx="1">
                  <c:v>67417.990000000005</c:v>
                </c:pt>
                <c:pt idx="2">
                  <c:v>30388.960000000003</c:v>
                </c:pt>
                <c:pt idx="3">
                  <c:v>38700.76</c:v>
                </c:pt>
                <c:pt idx="4">
                  <c:v>32704.250000000004</c:v>
                </c:pt>
                <c:pt idx="5">
                  <c:v>34931.700000000004</c:v>
                </c:pt>
                <c:pt idx="6">
                  <c:v>54245.31</c:v>
                </c:pt>
                <c:pt idx="7">
                  <c:v>43901.789999999994</c:v>
                </c:pt>
                <c:pt idx="8">
                  <c:v>37324.81</c:v>
                </c:pt>
                <c:pt idx="9">
                  <c:v>43884.159999999996</c:v>
                </c:pt>
                <c:pt idx="10">
                  <c:v>40767.450000000004</c:v>
                </c:pt>
                <c:pt idx="11">
                  <c:v>48008.94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B-4221-9BC1-6E9BD23B4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30431"/>
        <c:axId val="18442148"/>
      </c:barChart>
      <c:catAx>
        <c:axId val="326304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8442148"/>
        <c:crosses val="autoZero"/>
        <c:auto val="1"/>
        <c:lblAlgn val="ctr"/>
        <c:lblOffset val="100"/>
        <c:noMultiLvlLbl val="0"/>
      </c:catAx>
      <c:valAx>
        <c:axId val="18442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S/ Soles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2630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% Ocupación Estimada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4527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Dashboard!$C$23</c:f>
              <c:numCache>
                <c:formatCode>0.0%;\(0.0%\);\-</c:formatCode>
                <c:ptCount val="1"/>
                <c:pt idx="0">
                  <c:v>0.21145237650162554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F4-41E8-BE5E-1F8EDDA681D3}"/>
            </c:ext>
          </c:extLst>
        </c:ser>
        <c:ser>
          <c:idx val="1"/>
          <c:order val="1"/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Dashboard!$D$23</c:f>
              <c:numCache>
                <c:formatCode>0.0%;\(0.0%\);\-</c:formatCode>
                <c:ptCount val="1"/>
                <c:pt idx="0">
                  <c:v>0.25993306312945219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F4-41E8-BE5E-1F8EDDA681D3}"/>
            </c:ext>
          </c:extLst>
        </c:ser>
        <c:ser>
          <c:idx val="2"/>
          <c:order val="2"/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Dashboard!$E$23</c:f>
              <c:numCache>
                <c:formatCode>0.0%;\(0.0%\);\-</c:formatCode>
                <c:ptCount val="1"/>
                <c:pt idx="0">
                  <c:v>0.17393982315180831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F4-41E8-BE5E-1F8EDDA681D3}"/>
            </c:ext>
          </c:extLst>
        </c:ser>
        <c:ser>
          <c:idx val="3"/>
          <c:order val="3"/>
          <c:spPr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Dashboard!$F$23</c:f>
              <c:numCache>
                <c:formatCode>0.0%;\(0.0%\);\-</c:formatCode>
                <c:ptCount val="1"/>
                <c:pt idx="0">
                  <c:v>0.18563494177536696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2F4-41E8-BE5E-1F8EDDA681D3}"/>
            </c:ext>
          </c:extLst>
        </c:ser>
        <c:ser>
          <c:idx val="4"/>
          <c:order val="4"/>
          <c:spPr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Dashboard!$G$23</c:f>
              <c:numCache>
                <c:formatCode>0.0%;\(0.0%\);\-</c:formatCode>
                <c:ptCount val="1"/>
                <c:pt idx="0">
                  <c:v>0.15861795892368893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2F4-41E8-BE5E-1F8EDDA681D3}"/>
            </c:ext>
          </c:extLst>
        </c:ser>
        <c:ser>
          <c:idx val="5"/>
          <c:order val="5"/>
          <c:spPr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Dashboard!$H$23</c:f>
              <c:numCache>
                <c:formatCode>0.0%;\(0.0%\);\-</c:formatCode>
                <c:ptCount val="1"/>
                <c:pt idx="0">
                  <c:v>0.16914205699638002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2F4-41E8-BE5E-1F8EDDA681D3}"/>
            </c:ext>
          </c:extLst>
        </c:ser>
        <c:ser>
          <c:idx val="6"/>
          <c:order val="6"/>
          <c:spPr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Dashboard!$I$23</c:f>
              <c:numCache>
                <c:formatCode>0.0%;\(0.0%\);\-</c:formatCode>
                <c:ptCount val="1"/>
                <c:pt idx="0">
                  <c:v>0.20490392057948853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2F4-41E8-BE5E-1F8EDDA681D3}"/>
            </c:ext>
          </c:extLst>
        </c:ser>
        <c:ser>
          <c:idx val="7"/>
          <c:order val="7"/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Dashboard!$J$23</c:f>
              <c:numCache>
                <c:formatCode>0.0%;\(0.0%\);\-</c:formatCode>
                <c:ptCount val="1"/>
                <c:pt idx="0">
                  <c:v>0.19130245956687109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2F4-41E8-BE5E-1F8EDDA681D3}"/>
            </c:ext>
          </c:extLst>
        </c:ser>
        <c:ser>
          <c:idx val="8"/>
          <c:order val="8"/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Dashboard!$K$23</c:f>
              <c:numCache>
                <c:formatCode>0.0%;\(0.0%\);\-</c:formatCode>
                <c:ptCount val="1"/>
                <c:pt idx="0">
                  <c:v>0.15939360159086341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2F4-41E8-BE5E-1F8EDDA681D3}"/>
            </c:ext>
          </c:extLst>
        </c:ser>
        <c:ser>
          <c:idx val="9"/>
          <c:order val="9"/>
          <c:spPr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Dashboard!$L$23</c:f>
              <c:numCache>
                <c:formatCode>0.0%;\(0.0%\);\-</c:formatCode>
                <c:ptCount val="1"/>
                <c:pt idx="0">
                  <c:v>0.15833831386720773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2F4-41E8-BE5E-1F8EDDA681D3}"/>
            </c:ext>
          </c:extLst>
        </c:ser>
        <c:ser>
          <c:idx val="10"/>
          <c:order val="10"/>
          <c:spPr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Dashboard!$M$23</c:f>
              <c:numCache>
                <c:formatCode>0.0%;\(0.0%\);\-</c:formatCode>
                <c:ptCount val="1"/>
                <c:pt idx="0">
                  <c:v>0.1566712611259328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2F4-41E8-BE5E-1F8EDDA681D3}"/>
            </c:ext>
          </c:extLst>
        </c:ser>
        <c:ser>
          <c:idx val="11"/>
          <c:order val="11"/>
          <c:spPr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Dashboard!$N$23</c:f>
              <c:numCache>
                <c:formatCode>0.0%;\(0.0%\);\-</c:formatCode>
                <c:ptCount val="1"/>
                <c:pt idx="0">
                  <c:v>0.21517470315143053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2F4-41E8-BE5E-1F8EDDA68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857130"/>
        <c:axId val="27696070"/>
      </c:lineChart>
      <c:catAx>
        <c:axId val="268571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7696070"/>
        <c:crosses val="autoZero"/>
        <c:auto val="1"/>
        <c:lblAlgn val="ctr"/>
        <c:lblOffset val="100"/>
        <c:noMultiLvlLbl val="0"/>
      </c:catAx>
      <c:valAx>
        <c:axId val="27696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% Ocupación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6857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101600</xdr:rowOff>
    </xdr:from>
    <xdr:to>
      <xdr:col>10</xdr:col>
      <xdr:colOff>199450</xdr:colOff>
      <xdr:row>50</xdr:row>
      <xdr:rowOff>61940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133350</xdr:colOff>
      <xdr:row>27</xdr:row>
      <xdr:rowOff>95250</xdr:rowOff>
    </xdr:from>
    <xdr:to>
      <xdr:col>23</xdr:col>
      <xdr:colOff>548340</xdr:colOff>
      <xdr:row>50</xdr:row>
      <xdr:rowOff>68290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50</xdr:row>
      <xdr:rowOff>133350</xdr:rowOff>
    </xdr:from>
    <xdr:to>
      <xdr:col>10</xdr:col>
      <xdr:colOff>199450</xdr:colOff>
      <xdr:row>73</xdr:row>
      <xdr:rowOff>71600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152400</xdr:colOff>
      <xdr:row>50</xdr:row>
      <xdr:rowOff>127000</xdr:rowOff>
    </xdr:from>
    <xdr:to>
      <xdr:col>23</xdr:col>
      <xdr:colOff>567390</xdr:colOff>
      <xdr:row>73</xdr:row>
      <xdr:rowOff>65250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B55"/>
  </sheetPr>
  <dimension ref="A1:P124"/>
  <sheetViews>
    <sheetView showGridLines="0" zoomScaleNormal="100" workbookViewId="0">
      <pane xSplit="2" ySplit="4" topLeftCell="G109" activePane="bottomRight" state="frozen"/>
      <selection pane="topRight" activeCell="G1" sqref="G1"/>
      <selection pane="bottomLeft" activeCell="A85" sqref="A85"/>
      <selection pane="bottomRight" activeCell="J118" sqref="J118:P122"/>
    </sheetView>
  </sheetViews>
  <sheetFormatPr baseColWidth="10" defaultColWidth="8.6328125" defaultRowHeight="14.5" x14ac:dyDescent="0.35"/>
  <cols>
    <col min="1" max="1" width="40" customWidth="1"/>
    <col min="2" max="2" width="9" hidden="1" customWidth="1"/>
    <col min="3" max="14" width="11" customWidth="1"/>
    <col min="15" max="15" width="14" customWidth="1"/>
    <col min="16" max="16" width="9" customWidth="1"/>
  </cols>
  <sheetData>
    <row r="1" spans="1:16" ht="31.5" customHeight="1" x14ac:dyDescent="0.35">
      <c r="A1" s="434" t="s">
        <v>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</row>
    <row r="2" spans="1:16" ht="13.5" customHeight="1" x14ac:dyDescent="0.35">
      <c r="A2" s="435" t="s">
        <v>1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</row>
    <row r="3" spans="1:16" ht="3.75" hidden="1" customHeight="1" x14ac:dyDescent="0.35">
      <c r="A3" s="436"/>
      <c r="B3" s="436"/>
      <c r="C3" s="436"/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</row>
    <row r="4" spans="1:16" ht="21.75" customHeight="1" x14ac:dyDescent="0.35">
      <c r="A4" s="329" t="s">
        <v>2</v>
      </c>
      <c r="B4" s="330" t="s">
        <v>3</v>
      </c>
      <c r="C4" s="330" t="s">
        <v>4</v>
      </c>
      <c r="D4" s="330" t="s">
        <v>5</v>
      </c>
      <c r="E4" s="330" t="s">
        <v>6</v>
      </c>
      <c r="F4" s="330" t="s">
        <v>7</v>
      </c>
      <c r="G4" s="330" t="s">
        <v>8</v>
      </c>
      <c r="H4" s="330" t="s">
        <v>9</v>
      </c>
      <c r="I4" s="330" t="s">
        <v>10</v>
      </c>
      <c r="J4" s="330" t="s">
        <v>11</v>
      </c>
      <c r="K4" s="330" t="s">
        <v>12</v>
      </c>
      <c r="L4" s="330" t="s">
        <v>13</v>
      </c>
      <c r="M4" s="330" t="s">
        <v>14</v>
      </c>
      <c r="N4" s="330" t="s">
        <v>15</v>
      </c>
      <c r="O4" s="330" t="s">
        <v>16</v>
      </c>
      <c r="P4" s="330" t="s">
        <v>17</v>
      </c>
    </row>
    <row r="5" spans="1:16" ht="19.5" customHeight="1" x14ac:dyDescent="0.35">
      <c r="A5" s="437" t="s">
        <v>18</v>
      </c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7"/>
      <c r="O5" s="437"/>
      <c r="P5" s="437"/>
    </row>
    <row r="6" spans="1:16" ht="15" customHeight="1" x14ac:dyDescent="0.35">
      <c r="A6" s="1" t="s">
        <v>19</v>
      </c>
      <c r="B6" s="2" t="s">
        <v>20</v>
      </c>
      <c r="C6" s="3">
        <v>192370.04</v>
      </c>
      <c r="D6" s="3">
        <v>214297.38</v>
      </c>
      <c r="E6" s="3">
        <v>159044.24</v>
      </c>
      <c r="F6" s="3">
        <v>162394.91</v>
      </c>
      <c r="G6" s="3">
        <v>146655.75</v>
      </c>
      <c r="H6" s="3">
        <v>148722.4</v>
      </c>
      <c r="I6" s="3">
        <v>185458.76</v>
      </c>
      <c r="J6" s="3">
        <v>177730.07</v>
      </c>
      <c r="K6" s="3">
        <v>139427.16</v>
      </c>
      <c r="L6" s="3">
        <v>144036.01</v>
      </c>
      <c r="M6" s="3">
        <v>140103.32</v>
      </c>
      <c r="N6" s="3">
        <v>192603.92</v>
      </c>
      <c r="O6" s="4">
        <f>SUM(C6:N6)</f>
        <v>2002843.96</v>
      </c>
      <c r="P6" s="5">
        <f>IFERROR(O6/O6,0)</f>
        <v>1</v>
      </c>
    </row>
    <row r="7" spans="1:16" ht="12.75" customHeight="1" x14ac:dyDescent="0.35">
      <c r="A7" s="6" t="s">
        <v>21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9.5" customHeight="1" x14ac:dyDescent="0.35">
      <c r="A8" s="8" t="s">
        <v>22</v>
      </c>
      <c r="B8" s="9"/>
      <c r="C8" s="10">
        <f t="shared" ref="C8:N8" si="0">C6</f>
        <v>192370.04</v>
      </c>
      <c r="D8" s="10">
        <f t="shared" si="0"/>
        <v>214297.38</v>
      </c>
      <c r="E8" s="10">
        <f t="shared" si="0"/>
        <v>159044.24</v>
      </c>
      <c r="F8" s="10">
        <f t="shared" si="0"/>
        <v>162394.91</v>
      </c>
      <c r="G8" s="10">
        <f t="shared" si="0"/>
        <v>146655.75</v>
      </c>
      <c r="H8" s="10">
        <f t="shared" si="0"/>
        <v>148722.4</v>
      </c>
      <c r="I8" s="10">
        <f t="shared" si="0"/>
        <v>185458.76</v>
      </c>
      <c r="J8" s="10">
        <f t="shared" si="0"/>
        <v>177730.07</v>
      </c>
      <c r="K8" s="10">
        <f t="shared" si="0"/>
        <v>139427.16</v>
      </c>
      <c r="L8" s="10">
        <f t="shared" si="0"/>
        <v>144036.01</v>
      </c>
      <c r="M8" s="10">
        <f t="shared" si="0"/>
        <v>140103.32</v>
      </c>
      <c r="N8" s="10">
        <f t="shared" si="0"/>
        <v>192603.92</v>
      </c>
      <c r="O8" s="11">
        <f>SUM(C8:N8)</f>
        <v>2002843.96</v>
      </c>
      <c r="P8" s="12">
        <f>IFERROR(O8/O6,0)</f>
        <v>1</v>
      </c>
    </row>
    <row r="9" spans="1:16" ht="4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9.5" customHeight="1" x14ac:dyDescent="0.35">
      <c r="A10" s="438" t="s">
        <v>23</v>
      </c>
      <c r="B10" s="438"/>
      <c r="C10" s="438"/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</row>
    <row r="11" spans="1:16" ht="15" customHeight="1" x14ac:dyDescent="0.35">
      <c r="A11" s="13" t="s">
        <v>24</v>
      </c>
      <c r="B11" s="2" t="s">
        <v>25</v>
      </c>
      <c r="C11" s="3">
        <v>22754.51</v>
      </c>
      <c r="D11" s="3">
        <v>24839.759999999998</v>
      </c>
      <c r="E11" s="3">
        <v>23204.47</v>
      </c>
      <c r="F11" s="3">
        <v>22781.98</v>
      </c>
      <c r="G11" s="3">
        <v>20410.689999999999</v>
      </c>
      <c r="H11" s="3">
        <v>18773.919999999998</v>
      </c>
      <c r="I11" s="3">
        <v>17726.41</v>
      </c>
      <c r="J11" s="3">
        <v>17115.759999999998</v>
      </c>
      <c r="K11" s="3">
        <v>17788.04</v>
      </c>
      <c r="L11" s="3">
        <v>16850.099999999999</v>
      </c>
      <c r="M11" s="3">
        <v>17318.98</v>
      </c>
      <c r="N11" s="3">
        <v>18987.72</v>
      </c>
      <c r="O11" s="4">
        <f t="shared" ref="O11:O25" si="1">SUM(C11:N11)</f>
        <v>238552.34000000003</v>
      </c>
      <c r="P11" s="14">
        <f>IFERROR(O11/O6,0)</f>
        <v>0.11910680250896831</v>
      </c>
    </row>
    <row r="12" spans="1:16" ht="15" customHeight="1" x14ac:dyDescent="0.35">
      <c r="A12" s="13" t="s">
        <v>26</v>
      </c>
      <c r="B12" s="2" t="s">
        <v>27</v>
      </c>
      <c r="C12" s="3">
        <v>19000</v>
      </c>
      <c r="D12" s="3">
        <v>19000</v>
      </c>
      <c r="E12" s="3">
        <v>0</v>
      </c>
      <c r="F12" s="3">
        <v>19000</v>
      </c>
      <c r="G12" s="3">
        <v>19000</v>
      </c>
      <c r="H12" s="3">
        <v>19000</v>
      </c>
      <c r="I12" s="3">
        <v>19000</v>
      </c>
      <c r="J12" s="3">
        <v>19000</v>
      </c>
      <c r="K12" s="3">
        <v>19000</v>
      </c>
      <c r="L12" s="3">
        <v>19000</v>
      </c>
      <c r="M12" s="3">
        <v>19000</v>
      </c>
      <c r="N12" s="3">
        <v>19000</v>
      </c>
      <c r="O12" s="4">
        <f t="shared" si="1"/>
        <v>209000</v>
      </c>
      <c r="P12" s="14">
        <f>IFERROR(O12/O6,0)</f>
        <v>0.10435161409179375</v>
      </c>
    </row>
    <row r="13" spans="1:16" ht="15" customHeight="1" x14ac:dyDescent="0.35">
      <c r="A13" s="13" t="s">
        <v>28</v>
      </c>
      <c r="B13" s="2" t="s">
        <v>29</v>
      </c>
      <c r="C13" s="3">
        <v>1097.03</v>
      </c>
      <c r="D13" s="3">
        <v>1043.05</v>
      </c>
      <c r="E13" s="3">
        <v>837.89</v>
      </c>
      <c r="F13" s="3">
        <v>676.25</v>
      </c>
      <c r="G13" s="3">
        <v>783.81</v>
      </c>
      <c r="H13" s="3">
        <v>621.87</v>
      </c>
      <c r="I13" s="3">
        <v>438.81</v>
      </c>
      <c r="J13" s="3">
        <v>524.66</v>
      </c>
      <c r="K13" s="3">
        <v>582.14</v>
      </c>
      <c r="L13" s="3">
        <v>473.18</v>
      </c>
      <c r="M13" s="3">
        <v>624.77</v>
      </c>
      <c r="N13" s="3">
        <v>470.98</v>
      </c>
      <c r="O13" s="4">
        <f t="shared" si="1"/>
        <v>8174.4400000000005</v>
      </c>
      <c r="P13" s="14">
        <f>IFERROR(O13/O6,0)</f>
        <v>4.0814163076388641E-3</v>
      </c>
    </row>
    <row r="14" spans="1:16" ht="15" customHeight="1" x14ac:dyDescent="0.35">
      <c r="A14" s="13" t="s">
        <v>30</v>
      </c>
      <c r="B14" s="2" t="s">
        <v>31</v>
      </c>
      <c r="C14" s="3">
        <v>100</v>
      </c>
      <c r="D14" s="3">
        <v>0</v>
      </c>
      <c r="E14" s="3">
        <v>135.59</v>
      </c>
      <c r="F14" s="3">
        <v>1800</v>
      </c>
      <c r="G14" s="3">
        <v>950</v>
      </c>
      <c r="H14" s="3">
        <v>350</v>
      </c>
      <c r="I14" s="3">
        <v>596.95000000000005</v>
      </c>
      <c r="J14" s="3">
        <v>930</v>
      </c>
      <c r="K14" s="3">
        <v>14665.22</v>
      </c>
      <c r="L14" s="3">
        <v>700</v>
      </c>
      <c r="M14" s="3">
        <v>2076.02</v>
      </c>
      <c r="N14" s="3">
        <v>0</v>
      </c>
      <c r="O14" s="4">
        <f t="shared" si="1"/>
        <v>22303.78</v>
      </c>
      <c r="P14" s="14">
        <f>IFERROR(O14/O6,0)</f>
        <v>1.1136054752862523E-2</v>
      </c>
    </row>
    <row r="15" spans="1:16" ht="15" customHeight="1" x14ac:dyDescent="0.35">
      <c r="A15" s="13" t="s">
        <v>32</v>
      </c>
      <c r="B15" s="2" t="s">
        <v>33</v>
      </c>
      <c r="C15" s="3">
        <v>250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1000</v>
      </c>
      <c r="J15" s="3">
        <v>0</v>
      </c>
      <c r="K15" s="3">
        <v>2450</v>
      </c>
      <c r="L15" s="3">
        <v>0</v>
      </c>
      <c r="M15" s="3">
        <v>0</v>
      </c>
      <c r="N15" s="3">
        <v>0</v>
      </c>
      <c r="O15" s="4">
        <f t="shared" si="1"/>
        <v>3700</v>
      </c>
      <c r="P15" s="14">
        <f>IFERROR(O15/O6,0)</f>
        <v>1.8473730724384539E-3</v>
      </c>
    </row>
    <row r="16" spans="1:16" ht="15" customHeight="1" x14ac:dyDescent="0.35">
      <c r="A16" s="13" t="s">
        <v>34</v>
      </c>
      <c r="B16" s="2" t="s">
        <v>35</v>
      </c>
      <c r="C16" s="3">
        <v>500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360</v>
      </c>
      <c r="J16" s="3">
        <v>600</v>
      </c>
      <c r="K16" s="3">
        <v>0</v>
      </c>
      <c r="L16" s="3">
        <v>0</v>
      </c>
      <c r="M16" s="3">
        <v>0</v>
      </c>
      <c r="N16" s="3">
        <v>0</v>
      </c>
      <c r="O16" s="4">
        <f t="shared" si="1"/>
        <v>1460</v>
      </c>
      <c r="P16" s="14">
        <f>IFERROR(O16/O6,0)</f>
        <v>7.2896342858382241E-4</v>
      </c>
    </row>
    <row r="17" spans="1:16" ht="15" customHeight="1" x14ac:dyDescent="0.35">
      <c r="A17" s="13" t="s">
        <v>36</v>
      </c>
      <c r="B17" s="2" t="s">
        <v>37</v>
      </c>
      <c r="C17" s="3">
        <v>560</v>
      </c>
      <c r="D17" s="3">
        <v>240</v>
      </c>
      <c r="E17" s="3">
        <v>640</v>
      </c>
      <c r="F17" s="3">
        <v>1381.44</v>
      </c>
      <c r="G17" s="3">
        <v>620</v>
      </c>
      <c r="H17" s="3">
        <v>0</v>
      </c>
      <c r="I17" s="3">
        <v>1569.92</v>
      </c>
      <c r="J17" s="3">
        <v>500</v>
      </c>
      <c r="K17" s="3">
        <v>291.95</v>
      </c>
      <c r="L17" s="3">
        <v>340</v>
      </c>
      <c r="M17" s="3">
        <v>1107.6300000000001</v>
      </c>
      <c r="N17" s="3">
        <v>300</v>
      </c>
      <c r="O17" s="4">
        <f t="shared" si="1"/>
        <v>7550.9400000000005</v>
      </c>
      <c r="P17" s="14">
        <f>IFERROR(O17/O6,0)</f>
        <v>3.7701089804320054E-3</v>
      </c>
    </row>
    <row r="18" spans="1:16" ht="15" customHeight="1" x14ac:dyDescent="0.35">
      <c r="A18" s="13" t="s">
        <v>38</v>
      </c>
      <c r="B18" s="2" t="s">
        <v>39</v>
      </c>
      <c r="C18" s="3">
        <v>2449.14</v>
      </c>
      <c r="D18" s="3">
        <v>135.59</v>
      </c>
      <c r="E18" s="3">
        <v>2237.2800000000002</v>
      </c>
      <c r="F18" s="3">
        <v>0</v>
      </c>
      <c r="G18" s="3">
        <v>0</v>
      </c>
      <c r="H18" s="3">
        <v>720.34</v>
      </c>
      <c r="I18" s="3">
        <v>0</v>
      </c>
      <c r="J18" s="3">
        <v>369.49</v>
      </c>
      <c r="K18" s="3">
        <v>0</v>
      </c>
      <c r="L18" s="3">
        <v>779.65</v>
      </c>
      <c r="M18" s="3">
        <v>0</v>
      </c>
      <c r="N18" s="3">
        <v>1864.39</v>
      </c>
      <c r="O18" s="4">
        <f t="shared" si="1"/>
        <v>8555.8799999999992</v>
      </c>
      <c r="P18" s="14">
        <f>IFERROR(O18/O6,0)</f>
        <v>4.2718654927066807E-3</v>
      </c>
    </row>
    <row r="19" spans="1:16" ht="15" customHeight="1" x14ac:dyDescent="0.35">
      <c r="A19" s="13" t="s">
        <v>40</v>
      </c>
      <c r="B19" s="2" t="s">
        <v>41</v>
      </c>
      <c r="C19" s="3">
        <v>0</v>
      </c>
      <c r="D19" s="3">
        <v>5.08</v>
      </c>
      <c r="E19" s="3">
        <v>1255.0899999999999</v>
      </c>
      <c r="F19" s="3">
        <v>1186.44</v>
      </c>
      <c r="G19" s="3">
        <v>0</v>
      </c>
      <c r="H19" s="3">
        <v>1016.1</v>
      </c>
      <c r="I19" s="3">
        <v>919.41</v>
      </c>
      <c r="J19" s="3">
        <v>933.05</v>
      </c>
      <c r="K19" s="3">
        <v>392.37</v>
      </c>
      <c r="L19" s="3">
        <v>722.03</v>
      </c>
      <c r="M19" s="3">
        <v>922.89</v>
      </c>
      <c r="N19" s="3">
        <v>0</v>
      </c>
      <c r="O19" s="4">
        <f t="shared" si="1"/>
        <v>7352.46</v>
      </c>
      <c r="P19" s="14">
        <f>IFERROR(O19/O6,0)</f>
        <v>3.6710098973461716E-3</v>
      </c>
    </row>
    <row r="20" spans="1:16" ht="15" customHeight="1" x14ac:dyDescent="0.35">
      <c r="A20" s="13" t="s">
        <v>42</v>
      </c>
      <c r="B20" s="2" t="s">
        <v>43</v>
      </c>
      <c r="C20" s="3">
        <v>409.16</v>
      </c>
      <c r="D20" s="3">
        <v>110.08</v>
      </c>
      <c r="E20" s="3">
        <v>718.21</v>
      </c>
      <c r="F20" s="3">
        <v>244.5</v>
      </c>
      <c r="G20" s="3">
        <v>144.06</v>
      </c>
      <c r="H20" s="3">
        <v>10.17</v>
      </c>
      <c r="I20" s="3">
        <v>382.29</v>
      </c>
      <c r="J20" s="3">
        <v>630.51</v>
      </c>
      <c r="K20" s="3">
        <v>158.06</v>
      </c>
      <c r="L20" s="3">
        <v>25.42</v>
      </c>
      <c r="M20" s="3">
        <v>985.15</v>
      </c>
      <c r="N20" s="3">
        <v>33.9</v>
      </c>
      <c r="O20" s="4">
        <f t="shared" si="1"/>
        <v>3851.51</v>
      </c>
      <c r="P20" s="14">
        <f>IFERROR(O20/O6,0)</f>
        <v>1.923020503304711E-3</v>
      </c>
    </row>
    <row r="21" spans="1:16" ht="15" customHeight="1" x14ac:dyDescent="0.35">
      <c r="A21" s="13" t="s">
        <v>44</v>
      </c>
      <c r="B21" s="2" t="s">
        <v>45</v>
      </c>
      <c r="C21" s="3">
        <v>61.86</v>
      </c>
      <c r="D21" s="3">
        <v>212.12</v>
      </c>
      <c r="E21" s="3">
        <v>0</v>
      </c>
      <c r="F21" s="3">
        <v>0</v>
      </c>
      <c r="G21" s="3">
        <v>14.49</v>
      </c>
      <c r="H21" s="3">
        <v>31.02</v>
      </c>
      <c r="I21" s="3">
        <v>59.91</v>
      </c>
      <c r="J21" s="3">
        <v>19.57</v>
      </c>
      <c r="K21" s="3">
        <v>25.42</v>
      </c>
      <c r="L21" s="3">
        <v>0</v>
      </c>
      <c r="M21" s="3">
        <v>0</v>
      </c>
      <c r="N21" s="3">
        <v>304.66000000000003</v>
      </c>
      <c r="O21" s="4">
        <f t="shared" si="1"/>
        <v>729.05</v>
      </c>
      <c r="P21" s="14">
        <f>IFERROR(O21/O6,0)</f>
        <v>3.6400738877331211E-4</v>
      </c>
    </row>
    <row r="22" spans="1:16" ht="15" customHeight="1" x14ac:dyDescent="0.35">
      <c r="A22" s="13" t="s">
        <v>46</v>
      </c>
      <c r="B22" s="2" t="s">
        <v>47</v>
      </c>
      <c r="C22" s="3">
        <v>1213</v>
      </c>
      <c r="D22" s="3">
        <v>22</v>
      </c>
      <c r="E22" s="3">
        <v>0</v>
      </c>
      <c r="F22" s="3">
        <v>78.36</v>
      </c>
      <c r="G22" s="3">
        <v>402</v>
      </c>
      <c r="H22" s="3">
        <v>200</v>
      </c>
      <c r="I22" s="3">
        <v>24</v>
      </c>
      <c r="J22" s="3">
        <v>0</v>
      </c>
      <c r="K22" s="3">
        <v>1728.1</v>
      </c>
      <c r="L22" s="3">
        <v>0</v>
      </c>
      <c r="M22" s="3">
        <v>0</v>
      </c>
      <c r="N22" s="3">
        <v>0</v>
      </c>
      <c r="O22" s="4">
        <f t="shared" si="1"/>
        <v>3667.46</v>
      </c>
      <c r="P22" s="14">
        <f>IFERROR(O22/O6,0)</f>
        <v>1.8311261752013872E-3</v>
      </c>
    </row>
    <row r="23" spans="1:16" ht="15" customHeight="1" x14ac:dyDescent="0.35">
      <c r="A23" s="13" t="s">
        <v>48</v>
      </c>
      <c r="B23" s="2" t="s">
        <v>49</v>
      </c>
      <c r="C23" s="3">
        <v>130</v>
      </c>
      <c r="D23" s="3">
        <v>0</v>
      </c>
      <c r="E23" s="3">
        <v>172.88</v>
      </c>
      <c r="F23" s="3">
        <v>72</v>
      </c>
      <c r="G23" s="3">
        <v>49.66</v>
      </c>
      <c r="H23" s="3">
        <v>0</v>
      </c>
      <c r="I23" s="3">
        <v>130.51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4">
        <f t="shared" si="1"/>
        <v>555.04999999999995</v>
      </c>
      <c r="P23" s="14">
        <f>IFERROR(O23/O6,0)</f>
        <v>2.7713092536674699E-4</v>
      </c>
    </row>
    <row r="24" spans="1:16" ht="18" customHeight="1" x14ac:dyDescent="0.35">
      <c r="A24" s="15" t="s">
        <v>50</v>
      </c>
      <c r="B24" s="16"/>
      <c r="C24" s="17">
        <f t="shared" ref="C24:N24" si="2">C11+C12+C13+C14+C15+C16+C17+C18+C19+C20+C21+C22+C23</f>
        <v>48524.7</v>
      </c>
      <c r="D24" s="17">
        <f t="shared" si="2"/>
        <v>45607.68</v>
      </c>
      <c r="E24" s="17">
        <f t="shared" si="2"/>
        <v>29201.41</v>
      </c>
      <c r="F24" s="17">
        <f t="shared" si="2"/>
        <v>47220.97</v>
      </c>
      <c r="G24" s="17">
        <f t="shared" si="2"/>
        <v>42374.71</v>
      </c>
      <c r="H24" s="17">
        <f t="shared" si="2"/>
        <v>40723.419999999991</v>
      </c>
      <c r="I24" s="17">
        <f t="shared" si="2"/>
        <v>42208.210000000006</v>
      </c>
      <c r="J24" s="17">
        <f t="shared" si="2"/>
        <v>40623.040000000001</v>
      </c>
      <c r="K24" s="17">
        <f t="shared" si="2"/>
        <v>57081.299999999996</v>
      </c>
      <c r="L24" s="17">
        <f t="shared" si="2"/>
        <v>38890.379999999997</v>
      </c>
      <c r="M24" s="17">
        <f t="shared" si="2"/>
        <v>42035.439999999988</v>
      </c>
      <c r="N24" s="17">
        <f t="shared" si="2"/>
        <v>40961.650000000009</v>
      </c>
      <c r="O24" s="18">
        <f t="shared" si="1"/>
        <v>515452.91</v>
      </c>
      <c r="P24" s="19">
        <f>IFERROR(O24/O6,0)</f>
        <v>0.25736049352541673</v>
      </c>
    </row>
    <row r="25" spans="1:16" ht="21.75" customHeight="1" x14ac:dyDescent="0.35">
      <c r="A25" s="20" t="s">
        <v>51</v>
      </c>
      <c r="B25" s="21"/>
      <c r="C25" s="22">
        <f t="shared" ref="C25:N25" si="3">C8-C24</f>
        <v>143845.34000000003</v>
      </c>
      <c r="D25" s="22">
        <f t="shared" si="3"/>
        <v>168689.7</v>
      </c>
      <c r="E25" s="22">
        <f t="shared" si="3"/>
        <v>129842.82999999999</v>
      </c>
      <c r="F25" s="22">
        <f t="shared" si="3"/>
        <v>115173.94</v>
      </c>
      <c r="G25" s="22">
        <f t="shared" si="3"/>
        <v>104281.04000000001</v>
      </c>
      <c r="H25" s="22">
        <f t="shared" si="3"/>
        <v>107998.98000000001</v>
      </c>
      <c r="I25" s="22">
        <f t="shared" si="3"/>
        <v>143250.54999999999</v>
      </c>
      <c r="J25" s="22">
        <f t="shared" si="3"/>
        <v>137107.03</v>
      </c>
      <c r="K25" s="22">
        <f t="shared" si="3"/>
        <v>82345.860000000015</v>
      </c>
      <c r="L25" s="22">
        <f t="shared" si="3"/>
        <v>105145.63</v>
      </c>
      <c r="M25" s="22">
        <f t="shared" si="3"/>
        <v>98067.880000000019</v>
      </c>
      <c r="N25" s="22">
        <f t="shared" si="3"/>
        <v>151642.27000000002</v>
      </c>
      <c r="O25" s="23">
        <f t="shared" si="1"/>
        <v>1487391.0500000005</v>
      </c>
      <c r="P25" s="24">
        <f>IFERROR(O25/O6,0)</f>
        <v>0.74263950647458354</v>
      </c>
    </row>
    <row r="26" spans="1:16" ht="12.75" customHeight="1" x14ac:dyDescent="0.35">
      <c r="A26" s="25" t="s">
        <v>52</v>
      </c>
      <c r="B26" s="7"/>
      <c r="C26" s="26">
        <f t="shared" ref="C26:O26" si="4">IFERROR(C25/C6,0)</f>
        <v>0.7477533403850205</v>
      </c>
      <c r="D26" s="26">
        <f t="shared" si="4"/>
        <v>0.78717574615237951</v>
      </c>
      <c r="E26" s="26">
        <f t="shared" si="4"/>
        <v>0.81639441956527314</v>
      </c>
      <c r="F26" s="26">
        <f t="shared" si="4"/>
        <v>0.7092213666056405</v>
      </c>
      <c r="G26" s="26">
        <f t="shared" si="4"/>
        <v>0.71106001639894789</v>
      </c>
      <c r="H26" s="26">
        <f t="shared" si="4"/>
        <v>0.72617830266321692</v>
      </c>
      <c r="I26" s="26">
        <f t="shared" si="4"/>
        <v>0.77241188283583895</v>
      </c>
      <c r="J26" s="26">
        <f t="shared" si="4"/>
        <v>0.7714340629022427</v>
      </c>
      <c r="K26" s="26">
        <f t="shared" si="4"/>
        <v>0.59060128600482154</v>
      </c>
      <c r="L26" s="26">
        <f t="shared" si="4"/>
        <v>0.72999543655784405</v>
      </c>
      <c r="M26" s="26">
        <f t="shared" si="4"/>
        <v>0.69996828055181004</v>
      </c>
      <c r="N26" s="26">
        <f t="shared" si="4"/>
        <v>0.78732701805861482</v>
      </c>
      <c r="O26" s="27">
        <f t="shared" si="4"/>
        <v>0.74263950647458354</v>
      </c>
      <c r="P26" s="7"/>
    </row>
    <row r="27" spans="1:16" ht="4.5" customHeight="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19.5" customHeight="1" x14ac:dyDescent="0.35">
      <c r="A28" s="429" t="s">
        <v>53</v>
      </c>
      <c r="B28" s="429"/>
      <c r="C28" s="429"/>
      <c r="D28" s="429"/>
      <c r="E28" s="429"/>
      <c r="F28" s="429"/>
      <c r="G28" s="429"/>
      <c r="H28" s="429"/>
      <c r="I28" s="429"/>
      <c r="J28" s="429"/>
      <c r="K28" s="429"/>
      <c r="L28" s="429"/>
      <c r="M28" s="429"/>
      <c r="N28" s="429"/>
      <c r="O28" s="429"/>
      <c r="P28" s="429"/>
    </row>
    <row r="29" spans="1:16" ht="15" customHeight="1" x14ac:dyDescent="0.35">
      <c r="A29" s="13" t="s">
        <v>54</v>
      </c>
      <c r="B29" s="2" t="s">
        <v>55</v>
      </c>
      <c r="C29" s="3">
        <v>28638</v>
      </c>
      <c r="D29" s="3">
        <v>24200</v>
      </c>
      <c r="E29" s="3">
        <v>24769.22</v>
      </c>
      <c r="F29" s="3">
        <v>23860</v>
      </c>
      <c r="G29" s="3">
        <v>23320</v>
      </c>
      <c r="H29" s="3">
        <v>24302.84</v>
      </c>
      <c r="I29" s="3">
        <v>24478.67</v>
      </c>
      <c r="J29" s="3">
        <v>22073.33</v>
      </c>
      <c r="K29" s="3">
        <v>22726.23</v>
      </c>
      <c r="L29" s="3">
        <v>22740</v>
      </c>
      <c r="M29" s="3">
        <v>20823.330000000002</v>
      </c>
      <c r="N29" s="3">
        <v>18203.34</v>
      </c>
      <c r="O29" s="4">
        <f t="shared" ref="O29:O47" si="5">SUM(C29:N29)</f>
        <v>280134.96000000002</v>
      </c>
      <c r="P29" s="14">
        <f>IFERROR(O29/O6,0)</f>
        <v>0.13986858966287119</v>
      </c>
    </row>
    <row r="30" spans="1:16" ht="15" customHeight="1" x14ac:dyDescent="0.35">
      <c r="A30" s="13" t="s">
        <v>56</v>
      </c>
      <c r="B30" s="2" t="s">
        <v>57</v>
      </c>
      <c r="C30" s="3">
        <v>339</v>
      </c>
      <c r="D30" s="3">
        <v>226</v>
      </c>
      <c r="E30" s="3">
        <v>339</v>
      </c>
      <c r="F30" s="3">
        <v>452</v>
      </c>
      <c r="G30" s="3">
        <v>452</v>
      </c>
      <c r="H30" s="3">
        <v>452</v>
      </c>
      <c r="I30" s="3">
        <v>452</v>
      </c>
      <c r="J30" s="3">
        <v>452</v>
      </c>
      <c r="K30" s="3">
        <v>565</v>
      </c>
      <c r="L30" s="3">
        <v>452</v>
      </c>
      <c r="M30" s="3">
        <v>565</v>
      </c>
      <c r="N30" s="3">
        <v>565</v>
      </c>
      <c r="O30" s="4">
        <f t="shared" si="5"/>
        <v>5311</v>
      </c>
      <c r="P30" s="14">
        <f>IFERROR(O30/O6,0)</f>
        <v>2.6517292939785483E-3</v>
      </c>
    </row>
    <row r="31" spans="1:16" ht="15" customHeight="1" x14ac:dyDescent="0.35">
      <c r="A31" s="13" t="s">
        <v>58</v>
      </c>
      <c r="B31" s="2" t="s">
        <v>59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1000</v>
      </c>
      <c r="K31" s="3">
        <v>166.67</v>
      </c>
      <c r="L31" s="3">
        <v>0</v>
      </c>
      <c r="M31" s="3">
        <v>0</v>
      </c>
      <c r="N31" s="3">
        <v>533.33000000000004</v>
      </c>
      <c r="O31" s="4">
        <f t="shared" si="5"/>
        <v>1700</v>
      </c>
      <c r="P31" s="14">
        <f>IFERROR(O31/O6,0)</f>
        <v>8.487930332825329E-4</v>
      </c>
    </row>
    <row r="32" spans="1:16" ht="15" customHeight="1" x14ac:dyDescent="0.35">
      <c r="A32" s="13" t="s">
        <v>60</v>
      </c>
      <c r="B32" s="2" t="s">
        <v>61</v>
      </c>
      <c r="C32" s="3">
        <v>0</v>
      </c>
      <c r="D32" s="3">
        <v>0</v>
      </c>
      <c r="E32" s="3">
        <v>0</v>
      </c>
      <c r="F32" s="3">
        <v>2986.67</v>
      </c>
      <c r="G32" s="3">
        <v>1493.33</v>
      </c>
      <c r="H32" s="3">
        <v>3053.33</v>
      </c>
      <c r="I32" s="3">
        <v>4413.33</v>
      </c>
      <c r="J32" s="3">
        <v>2366.67</v>
      </c>
      <c r="K32" s="3">
        <v>0</v>
      </c>
      <c r="L32" s="3">
        <v>1186.67</v>
      </c>
      <c r="M32" s="3">
        <v>1453.33</v>
      </c>
      <c r="N32" s="3">
        <v>4063.33</v>
      </c>
      <c r="O32" s="4">
        <f t="shared" si="5"/>
        <v>21016.660000000003</v>
      </c>
      <c r="P32" s="14">
        <f>IFERROR(O32/O6,0)</f>
        <v>1.0493408582863342E-2</v>
      </c>
    </row>
    <row r="33" spans="1:16" ht="15" customHeight="1" x14ac:dyDescent="0.35">
      <c r="A33" s="13" t="s">
        <v>62</v>
      </c>
      <c r="B33" s="2" t="s">
        <v>63</v>
      </c>
      <c r="C33" s="3">
        <v>100</v>
      </c>
      <c r="D33" s="3">
        <v>100</v>
      </c>
      <c r="E33" s="3">
        <v>100</v>
      </c>
      <c r="F33" s="3">
        <v>100</v>
      </c>
      <c r="G33" s="3">
        <v>100</v>
      </c>
      <c r="H33" s="3">
        <v>100</v>
      </c>
      <c r="I33" s="3">
        <v>100</v>
      </c>
      <c r="J33" s="3">
        <v>100</v>
      </c>
      <c r="K33" s="3">
        <v>100</v>
      </c>
      <c r="L33" s="3">
        <v>100</v>
      </c>
      <c r="M33" s="3">
        <v>100</v>
      </c>
      <c r="N33" s="3">
        <v>100</v>
      </c>
      <c r="O33" s="4">
        <f t="shared" si="5"/>
        <v>1200</v>
      </c>
      <c r="P33" s="14">
        <f>IFERROR(O33/O6,0)</f>
        <v>5.9914802349355267E-4</v>
      </c>
    </row>
    <row r="34" spans="1:16" ht="15" customHeight="1" x14ac:dyDescent="0.35">
      <c r="A34" s="13" t="s">
        <v>64</v>
      </c>
      <c r="B34" s="2" t="s">
        <v>65</v>
      </c>
      <c r="C34" s="3">
        <v>0</v>
      </c>
      <c r="D34" s="3">
        <v>0</v>
      </c>
      <c r="E34" s="3">
        <v>0</v>
      </c>
      <c r="F34" s="3">
        <v>379.17</v>
      </c>
      <c r="G34" s="3">
        <v>563.33000000000004</v>
      </c>
      <c r="H34" s="3">
        <v>150</v>
      </c>
      <c r="I34" s="3">
        <v>488.38</v>
      </c>
      <c r="J34" s="3">
        <v>2470</v>
      </c>
      <c r="K34" s="3">
        <v>2507.46</v>
      </c>
      <c r="L34" s="3">
        <v>646.66999999999996</v>
      </c>
      <c r="M34" s="3">
        <v>4055</v>
      </c>
      <c r="N34" s="3">
        <v>26.67</v>
      </c>
      <c r="O34" s="4">
        <f t="shared" si="5"/>
        <v>11286.68</v>
      </c>
      <c r="P34" s="14">
        <f>IFERROR(O34/O6,0)</f>
        <v>5.6353266781701758E-3</v>
      </c>
    </row>
    <row r="35" spans="1:16" ht="15" customHeight="1" x14ac:dyDescent="0.35">
      <c r="A35" s="13" t="s">
        <v>66</v>
      </c>
      <c r="B35" s="2" t="s">
        <v>67</v>
      </c>
      <c r="C35" s="3">
        <v>2052.13</v>
      </c>
      <c r="D35" s="3">
        <v>559.30999999999995</v>
      </c>
      <c r="E35" s="3">
        <v>559.30999999999995</v>
      </c>
      <c r="F35" s="3">
        <v>559.30999999999995</v>
      </c>
      <c r="G35" s="3">
        <v>681.53</v>
      </c>
      <c r="H35" s="3">
        <v>559.30999999999995</v>
      </c>
      <c r="I35" s="3">
        <v>559.30999999999995</v>
      </c>
      <c r="J35" s="3">
        <v>559.30999999999995</v>
      </c>
      <c r="K35" s="3">
        <v>559.30999999999995</v>
      </c>
      <c r="L35" s="3">
        <v>511.81</v>
      </c>
      <c r="M35" s="3">
        <v>559.30999999999995</v>
      </c>
      <c r="N35" s="3">
        <v>620.05999999999995</v>
      </c>
      <c r="O35" s="4">
        <f t="shared" si="5"/>
        <v>8340.0099999999984</v>
      </c>
      <c r="P35" s="14">
        <f>IFERROR(O35/O6,0)</f>
        <v>4.1640837561803855E-3</v>
      </c>
    </row>
    <row r="36" spans="1:16" ht="15" customHeight="1" x14ac:dyDescent="0.35">
      <c r="A36" s="13" t="s">
        <v>68</v>
      </c>
      <c r="B36" s="2" t="s">
        <v>69</v>
      </c>
      <c r="C36" s="3">
        <v>818.84</v>
      </c>
      <c r="D36" s="3">
        <v>8728.0400000000009</v>
      </c>
      <c r="E36" s="3">
        <v>0</v>
      </c>
      <c r="F36" s="3">
        <v>483.33</v>
      </c>
      <c r="G36" s="3">
        <v>1000</v>
      </c>
      <c r="H36" s="3">
        <v>200</v>
      </c>
      <c r="I36" s="3">
        <v>15426.12</v>
      </c>
      <c r="J36" s="3">
        <v>1700</v>
      </c>
      <c r="K36" s="3">
        <v>2149.25</v>
      </c>
      <c r="L36" s="3">
        <v>1866.67</v>
      </c>
      <c r="M36" s="3">
        <v>5500</v>
      </c>
      <c r="N36" s="3">
        <v>14565.21</v>
      </c>
      <c r="O36" s="4">
        <f t="shared" si="5"/>
        <v>52437.46</v>
      </c>
      <c r="P36" s="14">
        <f>IFERROR(O36/O6,0)</f>
        <v>2.6181500430018521E-2</v>
      </c>
    </row>
    <row r="37" spans="1:16" ht="15" customHeight="1" x14ac:dyDescent="0.35">
      <c r="A37" s="13" t="s">
        <v>70</v>
      </c>
      <c r="B37" s="2" t="s">
        <v>71</v>
      </c>
      <c r="C37" s="3">
        <v>73.7</v>
      </c>
      <c r="D37" s="3">
        <v>785.52</v>
      </c>
      <c r="E37" s="3">
        <v>0</v>
      </c>
      <c r="F37" s="3">
        <v>43.5</v>
      </c>
      <c r="G37" s="3">
        <v>90</v>
      </c>
      <c r="H37" s="3">
        <v>18</v>
      </c>
      <c r="I37" s="3">
        <v>1388.36</v>
      </c>
      <c r="J37" s="3">
        <v>153</v>
      </c>
      <c r="K37" s="3">
        <v>193.43</v>
      </c>
      <c r="L37" s="3">
        <v>168</v>
      </c>
      <c r="M37" s="3">
        <v>495</v>
      </c>
      <c r="N37" s="3">
        <v>1310.87</v>
      </c>
      <c r="O37" s="4">
        <f t="shared" si="5"/>
        <v>4719.3799999999992</v>
      </c>
      <c r="P37" s="14">
        <f>IFERROR(O37/O6,0)</f>
        <v>2.3563393325958348E-3</v>
      </c>
    </row>
    <row r="38" spans="1:16" ht="15" customHeight="1" x14ac:dyDescent="0.35">
      <c r="A38" s="13" t="s">
        <v>72</v>
      </c>
      <c r="B38" s="2" t="s">
        <v>73</v>
      </c>
      <c r="C38" s="3">
        <v>1859.88</v>
      </c>
      <c r="D38" s="3">
        <v>1615.48</v>
      </c>
      <c r="E38" s="3">
        <v>1693</v>
      </c>
      <c r="F38" s="3">
        <v>2400</v>
      </c>
      <c r="G38" s="3">
        <v>1400</v>
      </c>
      <c r="H38" s="3">
        <v>0</v>
      </c>
      <c r="I38" s="3">
        <v>680</v>
      </c>
      <c r="J38" s="3">
        <v>3090</v>
      </c>
      <c r="K38" s="3">
        <v>1580</v>
      </c>
      <c r="L38" s="3">
        <v>760</v>
      </c>
      <c r="M38" s="3">
        <v>700</v>
      </c>
      <c r="N38" s="3">
        <v>280</v>
      </c>
      <c r="O38" s="4">
        <f t="shared" si="5"/>
        <v>16058.36</v>
      </c>
      <c r="P38" s="14">
        <f>IFERROR(O38/O6,0)</f>
        <v>8.0177788787899381E-3</v>
      </c>
    </row>
    <row r="39" spans="1:16" ht="15" customHeight="1" x14ac:dyDescent="0.35">
      <c r="A39" s="13" t="s">
        <v>74</v>
      </c>
      <c r="B39" s="2" t="s">
        <v>75</v>
      </c>
      <c r="C39" s="3">
        <v>4354.54</v>
      </c>
      <c r="D39" s="3">
        <v>20244.97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f t="shared" si="5"/>
        <v>24599.510000000002</v>
      </c>
      <c r="P39" s="14">
        <f>IFERROR(O39/O6,0)</f>
        <v>1.2282289829508236E-2</v>
      </c>
    </row>
    <row r="40" spans="1:16" ht="15" customHeight="1" x14ac:dyDescent="0.35">
      <c r="A40" s="13" t="s">
        <v>76</v>
      </c>
      <c r="B40" s="2" t="s">
        <v>77</v>
      </c>
      <c r="C40" s="3">
        <v>0</v>
      </c>
      <c r="D40" s="3">
        <v>1000</v>
      </c>
      <c r="E40" s="3">
        <v>0</v>
      </c>
      <c r="F40" s="3">
        <v>0</v>
      </c>
      <c r="G40" s="3">
        <v>0</v>
      </c>
      <c r="H40" s="3">
        <v>2020</v>
      </c>
      <c r="I40" s="3">
        <v>1580</v>
      </c>
      <c r="J40" s="3">
        <v>2260</v>
      </c>
      <c r="K40" s="3">
        <v>1583.33</v>
      </c>
      <c r="L40" s="3">
        <v>2736.67</v>
      </c>
      <c r="M40" s="3">
        <v>2010</v>
      </c>
      <c r="N40" s="3">
        <v>1406.67</v>
      </c>
      <c r="O40" s="4">
        <f t="shared" si="5"/>
        <v>14596.67</v>
      </c>
      <c r="P40" s="14">
        <f>IFERROR(O40/O6,0)</f>
        <v>7.2879716500730291E-3</v>
      </c>
    </row>
    <row r="41" spans="1:16" ht="15" customHeight="1" x14ac:dyDescent="0.35">
      <c r="A41" s="13" t="s">
        <v>78</v>
      </c>
      <c r="B41" s="2" t="s">
        <v>79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500</v>
      </c>
      <c r="K41" s="3">
        <v>0</v>
      </c>
      <c r="L41" s="3">
        <v>0</v>
      </c>
      <c r="M41" s="3">
        <v>0</v>
      </c>
      <c r="N41" s="3">
        <v>0</v>
      </c>
      <c r="O41" s="4">
        <f t="shared" si="5"/>
        <v>500</v>
      </c>
      <c r="P41" s="14">
        <f>IFERROR(O41/O6,0)</f>
        <v>2.4964500978898028E-4</v>
      </c>
    </row>
    <row r="42" spans="1:16" ht="15" customHeight="1" x14ac:dyDescent="0.35">
      <c r="A42" s="13" t="s">
        <v>80</v>
      </c>
      <c r="B42" s="2" t="s">
        <v>81</v>
      </c>
      <c r="C42" s="3">
        <v>1920</v>
      </c>
      <c r="D42" s="3">
        <v>115.81</v>
      </c>
      <c r="E42" s="3">
        <v>389.78</v>
      </c>
      <c r="F42" s="3">
        <v>237.12</v>
      </c>
      <c r="G42" s="3">
        <v>852.61</v>
      </c>
      <c r="H42" s="3">
        <v>1087.99</v>
      </c>
      <c r="I42" s="3">
        <v>1453.49</v>
      </c>
      <c r="J42" s="3">
        <v>2313.06</v>
      </c>
      <c r="K42" s="3">
        <v>554.66999999999996</v>
      </c>
      <c r="L42" s="3">
        <v>317.11</v>
      </c>
      <c r="M42" s="3">
        <v>368.04</v>
      </c>
      <c r="N42" s="3">
        <v>2519.19</v>
      </c>
      <c r="O42" s="4">
        <f t="shared" si="5"/>
        <v>12128.870000000003</v>
      </c>
      <c r="P42" s="14">
        <f>IFERROR(O42/O6,0)</f>
        <v>6.0558237397585393E-3</v>
      </c>
    </row>
    <row r="43" spans="1:16" ht="15" customHeight="1" x14ac:dyDescent="0.35">
      <c r="A43" s="13" t="s">
        <v>82</v>
      </c>
      <c r="B43" s="2" t="s">
        <v>83</v>
      </c>
      <c r="C43" s="3">
        <v>3351.92</v>
      </c>
      <c r="D43" s="3">
        <v>4335.83</v>
      </c>
      <c r="E43" s="3">
        <v>2538.65</v>
      </c>
      <c r="F43" s="3">
        <v>2764.98</v>
      </c>
      <c r="G43" s="3">
        <v>2588.12</v>
      </c>
      <c r="H43" s="3">
        <v>2868.23</v>
      </c>
      <c r="I43" s="3">
        <v>2796.45</v>
      </c>
      <c r="J43" s="3">
        <v>2971.65</v>
      </c>
      <c r="K43" s="3">
        <v>2656.69</v>
      </c>
      <c r="L43" s="3">
        <v>2438.7399999999998</v>
      </c>
      <c r="M43" s="3">
        <v>2257.62</v>
      </c>
      <c r="N43" s="3">
        <v>2384.56</v>
      </c>
      <c r="O43" s="4">
        <f t="shared" si="5"/>
        <v>33953.440000000002</v>
      </c>
      <c r="P43" s="14">
        <f>IFERROR(O43/O6,0)</f>
        <v>1.695261372233911E-2</v>
      </c>
    </row>
    <row r="44" spans="1:16" ht="15" customHeight="1" x14ac:dyDescent="0.35">
      <c r="A44" s="13" t="s">
        <v>84</v>
      </c>
      <c r="B44" s="2" t="s">
        <v>85</v>
      </c>
      <c r="C44" s="3">
        <v>100</v>
      </c>
      <c r="D44" s="3">
        <v>0</v>
      </c>
      <c r="E44" s="3">
        <v>0</v>
      </c>
      <c r="F44" s="3">
        <v>4055.51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f t="shared" si="5"/>
        <v>4155.51</v>
      </c>
      <c r="P44" s="14">
        <f>IFERROR(O44/O6,0)</f>
        <v>2.0748046692564111E-3</v>
      </c>
    </row>
    <row r="45" spans="1:16" ht="15" customHeight="1" x14ac:dyDescent="0.35">
      <c r="A45" s="13" t="s">
        <v>86</v>
      </c>
      <c r="B45" s="2" t="s">
        <v>87</v>
      </c>
      <c r="C45" s="3">
        <v>1455.51</v>
      </c>
      <c r="D45" s="3">
        <v>5507.03</v>
      </c>
      <c r="E45" s="3">
        <v>0</v>
      </c>
      <c r="F45" s="3">
        <v>379.17</v>
      </c>
      <c r="G45" s="3">
        <v>163.33000000000001</v>
      </c>
      <c r="H45" s="3">
        <v>120</v>
      </c>
      <c r="I45" s="3">
        <v>429.2</v>
      </c>
      <c r="J45" s="3">
        <v>1892.77</v>
      </c>
      <c r="K45" s="3">
        <v>1982.77</v>
      </c>
      <c r="L45" s="3">
        <v>9959.82</v>
      </c>
      <c r="M45" s="3">
        <v>1880.82</v>
      </c>
      <c r="N45" s="3">
        <v>1430.71</v>
      </c>
      <c r="O45" s="4">
        <f t="shared" si="5"/>
        <v>25201.129999999997</v>
      </c>
      <c r="P45" s="14">
        <f>IFERROR(O45/O6,0)</f>
        <v>1.2582672691086727E-2</v>
      </c>
    </row>
    <row r="46" spans="1:16" ht="18" customHeight="1" x14ac:dyDescent="0.35">
      <c r="A46" s="28" t="s">
        <v>88</v>
      </c>
      <c r="B46" s="29"/>
      <c r="C46" s="30">
        <f t="shared" ref="C46:N46" si="6">C29+C30+C31+C32+C33+C34+C35+C36+C37+C38+C39+C40+C41+C42+C43+C44+C45</f>
        <v>45063.520000000004</v>
      </c>
      <c r="D46" s="30">
        <f t="shared" si="6"/>
        <v>67417.990000000005</v>
      </c>
      <c r="E46" s="30">
        <f t="shared" si="6"/>
        <v>30388.960000000003</v>
      </c>
      <c r="F46" s="30">
        <f t="shared" si="6"/>
        <v>38700.76</v>
      </c>
      <c r="G46" s="30">
        <f t="shared" si="6"/>
        <v>32704.250000000004</v>
      </c>
      <c r="H46" s="30">
        <f t="shared" si="6"/>
        <v>34931.700000000004</v>
      </c>
      <c r="I46" s="30">
        <f t="shared" si="6"/>
        <v>54245.31</v>
      </c>
      <c r="J46" s="30">
        <f t="shared" si="6"/>
        <v>43901.789999999994</v>
      </c>
      <c r="K46" s="30">
        <f t="shared" si="6"/>
        <v>37324.81</v>
      </c>
      <c r="L46" s="30">
        <f t="shared" si="6"/>
        <v>43884.159999999996</v>
      </c>
      <c r="M46" s="30">
        <f t="shared" si="6"/>
        <v>40767.450000000004</v>
      </c>
      <c r="N46" s="30">
        <f t="shared" si="6"/>
        <v>48008.94</v>
      </c>
      <c r="O46" s="31">
        <f t="shared" si="5"/>
        <v>517339.63999999996</v>
      </c>
      <c r="P46" s="32">
        <f>IFERROR(O46/O6,0)</f>
        <v>0.25830251898405504</v>
      </c>
    </row>
    <row r="47" spans="1:16" ht="21.75" customHeight="1" x14ac:dyDescent="0.35">
      <c r="A47" s="20" t="s">
        <v>89</v>
      </c>
      <c r="B47" s="21"/>
      <c r="C47" s="22">
        <f t="shared" ref="C47:N47" si="7">C25-C46</f>
        <v>98781.820000000022</v>
      </c>
      <c r="D47" s="22">
        <f t="shared" si="7"/>
        <v>101271.71</v>
      </c>
      <c r="E47" s="22">
        <f t="shared" si="7"/>
        <v>99453.869999999981</v>
      </c>
      <c r="F47" s="22">
        <f t="shared" si="7"/>
        <v>76473.179999999993</v>
      </c>
      <c r="G47" s="22">
        <f t="shared" si="7"/>
        <v>71576.790000000008</v>
      </c>
      <c r="H47" s="22">
        <f t="shared" si="7"/>
        <v>73067.28</v>
      </c>
      <c r="I47" s="22">
        <f t="shared" si="7"/>
        <v>89005.239999999991</v>
      </c>
      <c r="J47" s="22">
        <f t="shared" si="7"/>
        <v>93205.24</v>
      </c>
      <c r="K47" s="22">
        <f t="shared" si="7"/>
        <v>45021.050000000017</v>
      </c>
      <c r="L47" s="22">
        <f t="shared" si="7"/>
        <v>61261.470000000008</v>
      </c>
      <c r="M47" s="22">
        <f t="shared" si="7"/>
        <v>57300.430000000015</v>
      </c>
      <c r="N47" s="22">
        <f t="shared" si="7"/>
        <v>103633.33000000002</v>
      </c>
      <c r="O47" s="23">
        <f t="shared" si="5"/>
        <v>970051.41000000015</v>
      </c>
      <c r="P47" s="24">
        <f>IFERROR(O47/O6,0)</f>
        <v>0.48433698749052828</v>
      </c>
    </row>
    <row r="48" spans="1:16" ht="12.75" customHeight="1" x14ac:dyDescent="0.35">
      <c r="A48" s="25" t="s">
        <v>90</v>
      </c>
      <c r="B48" s="7"/>
      <c r="C48" s="26">
        <f t="shared" ref="C48:O48" si="8">IFERROR(C47/C6,0)</f>
        <v>0.51349898352155054</v>
      </c>
      <c r="D48" s="26">
        <f t="shared" si="8"/>
        <v>0.47257558631841418</v>
      </c>
      <c r="E48" s="26">
        <f t="shared" si="8"/>
        <v>0.62532204875825737</v>
      </c>
      <c r="F48" s="26">
        <f t="shared" si="8"/>
        <v>0.47090872491015878</v>
      </c>
      <c r="G48" s="26">
        <f t="shared" si="8"/>
        <v>0.48805989536721206</v>
      </c>
      <c r="H48" s="26">
        <f t="shared" si="8"/>
        <v>0.49129976385534391</v>
      </c>
      <c r="I48" s="26">
        <f t="shared" si="8"/>
        <v>0.47991930928471638</v>
      </c>
      <c r="J48" s="26">
        <f t="shared" si="8"/>
        <v>0.52442020644002452</v>
      </c>
      <c r="K48" s="26">
        <f t="shared" si="8"/>
        <v>0.32290014370227449</v>
      </c>
      <c r="L48" s="26">
        <f t="shared" si="8"/>
        <v>0.42532051533501936</v>
      </c>
      <c r="M48" s="26">
        <f t="shared" si="8"/>
        <v>0.4089869533427189</v>
      </c>
      <c r="N48" s="26">
        <f t="shared" si="8"/>
        <v>0.5380644900685303</v>
      </c>
      <c r="O48" s="27">
        <f t="shared" si="8"/>
        <v>0.48433698749052828</v>
      </c>
      <c r="P48" s="7"/>
    </row>
    <row r="49" spans="1:16" ht="4.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9.5" customHeight="1" x14ac:dyDescent="0.35">
      <c r="A50" s="430" t="s">
        <v>91</v>
      </c>
      <c r="B50" s="430"/>
      <c r="C50" s="430"/>
      <c r="D50" s="430"/>
      <c r="E50" s="430"/>
      <c r="F50" s="430"/>
      <c r="G50" s="430"/>
      <c r="H50" s="430"/>
      <c r="I50" s="430"/>
      <c r="J50" s="430"/>
      <c r="K50" s="430"/>
      <c r="L50" s="430"/>
      <c r="M50" s="430"/>
      <c r="N50" s="430"/>
      <c r="O50" s="430"/>
      <c r="P50" s="430"/>
    </row>
    <row r="51" spans="1:16" ht="15" customHeight="1" x14ac:dyDescent="0.35">
      <c r="A51" s="13" t="s">
        <v>92</v>
      </c>
      <c r="B51" s="2" t="s">
        <v>93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6464.02</v>
      </c>
      <c r="N51" s="3">
        <v>3000</v>
      </c>
      <c r="O51" s="4">
        <f t="shared" ref="O51:O58" si="9">SUM(C51:N51)</f>
        <v>9464.02</v>
      </c>
      <c r="P51" s="14">
        <f>IFERROR(O51/O6,0)</f>
        <v>4.7252907310862107E-3</v>
      </c>
    </row>
    <row r="52" spans="1:16" ht="15" customHeight="1" x14ac:dyDescent="0.35">
      <c r="A52" s="13" t="s">
        <v>94</v>
      </c>
      <c r="B52" s="2" t="s">
        <v>95</v>
      </c>
      <c r="C52" s="3">
        <v>1700</v>
      </c>
      <c r="D52" s="3">
        <v>1700</v>
      </c>
      <c r="E52" s="3">
        <v>1700</v>
      </c>
      <c r="F52" s="3">
        <v>1700</v>
      </c>
      <c r="G52" s="3">
        <v>1700</v>
      </c>
      <c r="H52" s="3">
        <v>1729.9</v>
      </c>
      <c r="I52" s="3">
        <v>1700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4">
        <f t="shared" si="9"/>
        <v>11929.9</v>
      </c>
      <c r="P52" s="14">
        <f>IFERROR(O52/O6,0)</f>
        <v>5.9564800045631113E-3</v>
      </c>
    </row>
    <row r="53" spans="1:16" ht="15" customHeight="1" x14ac:dyDescent="0.35">
      <c r="A53" s="13" t="s">
        <v>96</v>
      </c>
      <c r="B53" s="2" t="s">
        <v>97</v>
      </c>
      <c r="C53" s="3">
        <v>29.9</v>
      </c>
      <c r="D53" s="3">
        <v>0</v>
      </c>
      <c r="E53" s="3">
        <v>59.8</v>
      </c>
      <c r="F53" s="3">
        <v>59.8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1416.7</v>
      </c>
      <c r="M53" s="3">
        <v>0</v>
      </c>
      <c r="N53" s="3">
        <v>0</v>
      </c>
      <c r="O53" s="4">
        <f t="shared" si="9"/>
        <v>1566.2</v>
      </c>
      <c r="P53" s="14">
        <f>IFERROR(O53/O6,0)</f>
        <v>7.8198802866300183E-4</v>
      </c>
    </row>
    <row r="54" spans="1:16" ht="15" customHeight="1" x14ac:dyDescent="0.35">
      <c r="A54" s="13" t="s">
        <v>98</v>
      </c>
      <c r="B54" s="2" t="s">
        <v>99</v>
      </c>
      <c r="C54" s="3">
        <v>3008.55</v>
      </c>
      <c r="D54" s="3">
        <v>2128.44</v>
      </c>
      <c r="E54" s="3">
        <v>742.54</v>
      </c>
      <c r="F54" s="3">
        <v>3201.54</v>
      </c>
      <c r="G54" s="3">
        <v>2485.34</v>
      </c>
      <c r="H54" s="3">
        <v>3310.44</v>
      </c>
      <c r="I54" s="3">
        <v>4338.92</v>
      </c>
      <c r="J54" s="3">
        <v>2433.9499999999998</v>
      </c>
      <c r="K54" s="3">
        <v>1315.69</v>
      </c>
      <c r="L54" s="3">
        <v>2090.02</v>
      </c>
      <c r="M54" s="3">
        <v>2816.98</v>
      </c>
      <c r="N54" s="3">
        <v>4495.8999999999996</v>
      </c>
      <c r="O54" s="4">
        <f t="shared" si="9"/>
        <v>32368.309999999998</v>
      </c>
      <c r="P54" s="14">
        <f>IFERROR(O54/O6,0)</f>
        <v>1.6161174133605495E-2</v>
      </c>
    </row>
    <row r="55" spans="1:16" ht="15" customHeight="1" x14ac:dyDescent="0.35">
      <c r="A55" s="13" t="s">
        <v>100</v>
      </c>
      <c r="B55" s="2" t="s">
        <v>101</v>
      </c>
      <c r="C55" s="3">
        <v>1896.54</v>
      </c>
      <c r="D55" s="3">
        <v>772.04</v>
      </c>
      <c r="E55" s="3">
        <v>0</v>
      </c>
      <c r="F55" s="3">
        <v>73.33</v>
      </c>
      <c r="G55" s="3">
        <v>357.05</v>
      </c>
      <c r="H55" s="3">
        <v>205.99</v>
      </c>
      <c r="I55" s="3">
        <v>85.8</v>
      </c>
      <c r="J55" s="3">
        <v>412.15</v>
      </c>
      <c r="K55" s="3">
        <v>197.3</v>
      </c>
      <c r="L55" s="3">
        <v>3561.78</v>
      </c>
      <c r="M55" s="3">
        <v>24.15</v>
      </c>
      <c r="N55" s="3">
        <v>0</v>
      </c>
      <c r="O55" s="4">
        <f t="shared" si="9"/>
        <v>7586.13</v>
      </c>
      <c r="P55" s="14">
        <f>IFERROR(O55/O6,0)</f>
        <v>3.7876789962209539E-3</v>
      </c>
    </row>
    <row r="56" spans="1:16" ht="15" customHeight="1" x14ac:dyDescent="0.35">
      <c r="A56" s="13" t="s">
        <v>102</v>
      </c>
      <c r="B56" s="2" t="s">
        <v>103</v>
      </c>
      <c r="C56" s="3">
        <v>4317.6099999999997</v>
      </c>
      <c r="D56" s="3">
        <v>4346.6899999999996</v>
      </c>
      <c r="E56" s="3">
        <v>630.29999999999995</v>
      </c>
      <c r="F56" s="3">
        <v>2347.2399999999998</v>
      </c>
      <c r="G56" s="3">
        <v>2411.1</v>
      </c>
      <c r="H56" s="3">
        <v>3317.14</v>
      </c>
      <c r="I56" s="3">
        <v>3569.3</v>
      </c>
      <c r="J56" s="3">
        <v>5484.3</v>
      </c>
      <c r="K56" s="3">
        <v>3187.57</v>
      </c>
      <c r="L56" s="3">
        <v>4678.59</v>
      </c>
      <c r="M56" s="3">
        <v>3185</v>
      </c>
      <c r="N56" s="3">
        <v>5309.99</v>
      </c>
      <c r="O56" s="4">
        <f t="shared" si="9"/>
        <v>42784.829999999994</v>
      </c>
      <c r="P56" s="14">
        <f>IFERROR(O56/O6,0)</f>
        <v>2.1362038608339712E-2</v>
      </c>
    </row>
    <row r="57" spans="1:16" ht="18" customHeight="1" x14ac:dyDescent="0.35">
      <c r="A57" s="33" t="s">
        <v>104</v>
      </c>
      <c r="B57" s="29"/>
      <c r="C57" s="34">
        <f t="shared" ref="C57:N57" si="10">C51+C52+C53+C54+C55+C56</f>
        <v>10952.6</v>
      </c>
      <c r="D57" s="34">
        <f t="shared" si="10"/>
        <v>8947.1699999999983</v>
      </c>
      <c r="E57" s="34">
        <f t="shared" si="10"/>
        <v>3132.6400000000003</v>
      </c>
      <c r="F57" s="34">
        <f t="shared" si="10"/>
        <v>7381.91</v>
      </c>
      <c r="G57" s="34">
        <f t="shared" si="10"/>
        <v>6953.49</v>
      </c>
      <c r="H57" s="34">
        <f t="shared" si="10"/>
        <v>8563.4699999999993</v>
      </c>
      <c r="I57" s="34">
        <f t="shared" si="10"/>
        <v>9694.02</v>
      </c>
      <c r="J57" s="34">
        <f t="shared" si="10"/>
        <v>8330.4</v>
      </c>
      <c r="K57" s="34">
        <f t="shared" si="10"/>
        <v>4700.5600000000004</v>
      </c>
      <c r="L57" s="34">
        <f t="shared" si="10"/>
        <v>11747.09</v>
      </c>
      <c r="M57" s="34">
        <f t="shared" si="10"/>
        <v>12490.15</v>
      </c>
      <c r="N57" s="34">
        <f t="shared" si="10"/>
        <v>12805.89</v>
      </c>
      <c r="O57" s="35">
        <f t="shared" si="9"/>
        <v>105699.39</v>
      </c>
      <c r="P57" s="36">
        <f>IFERROR(O57/O6,0)</f>
        <v>5.2774650502478489E-2</v>
      </c>
    </row>
    <row r="58" spans="1:16" ht="21.75" customHeight="1" x14ac:dyDescent="0.35">
      <c r="A58" s="20" t="s">
        <v>105</v>
      </c>
      <c r="B58" s="21"/>
      <c r="C58" s="22">
        <f t="shared" ref="C58:N58" si="11">C47-C57</f>
        <v>87829.220000000016</v>
      </c>
      <c r="D58" s="22">
        <f t="shared" si="11"/>
        <v>92324.540000000008</v>
      </c>
      <c r="E58" s="22">
        <f t="shared" si="11"/>
        <v>96321.229999999981</v>
      </c>
      <c r="F58" s="22">
        <f t="shared" si="11"/>
        <v>69091.26999999999</v>
      </c>
      <c r="G58" s="22">
        <f t="shared" si="11"/>
        <v>64623.30000000001</v>
      </c>
      <c r="H58" s="22">
        <f t="shared" si="11"/>
        <v>64503.81</v>
      </c>
      <c r="I58" s="22">
        <f t="shared" si="11"/>
        <v>79311.219999999987</v>
      </c>
      <c r="J58" s="22">
        <f t="shared" si="11"/>
        <v>84874.840000000011</v>
      </c>
      <c r="K58" s="22">
        <f t="shared" si="11"/>
        <v>40320.49000000002</v>
      </c>
      <c r="L58" s="22">
        <f t="shared" si="11"/>
        <v>49514.380000000005</v>
      </c>
      <c r="M58" s="22">
        <f t="shared" si="11"/>
        <v>44810.280000000013</v>
      </c>
      <c r="N58" s="22">
        <f t="shared" si="11"/>
        <v>90827.440000000017</v>
      </c>
      <c r="O58" s="23">
        <f t="shared" si="9"/>
        <v>864352.02</v>
      </c>
      <c r="P58" s="24">
        <f>IFERROR(O58/O6,0)</f>
        <v>0.43156233698804974</v>
      </c>
    </row>
    <row r="59" spans="1:16" ht="4.5" customHeight="1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19.5" customHeight="1" x14ac:dyDescent="0.35">
      <c r="A60" s="431" t="s">
        <v>106</v>
      </c>
      <c r="B60" s="431"/>
      <c r="C60" s="431"/>
      <c r="D60" s="431"/>
      <c r="E60" s="431"/>
      <c r="F60" s="431"/>
      <c r="G60" s="431"/>
      <c r="H60" s="431"/>
      <c r="I60" s="431"/>
      <c r="J60" s="431"/>
      <c r="K60" s="431"/>
      <c r="L60" s="431"/>
      <c r="M60" s="431"/>
      <c r="N60" s="431"/>
      <c r="O60" s="431"/>
      <c r="P60" s="431"/>
    </row>
    <row r="61" spans="1:16" ht="15" customHeight="1" x14ac:dyDescent="0.35">
      <c r="A61" s="13" t="s">
        <v>107</v>
      </c>
      <c r="B61" s="2" t="s">
        <v>108</v>
      </c>
      <c r="C61" s="3">
        <v>2300</v>
      </c>
      <c r="D61" s="3">
        <v>0</v>
      </c>
      <c r="E61" s="3">
        <v>0</v>
      </c>
      <c r="F61" s="3">
        <v>240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4">
        <f t="shared" ref="O61:O81" si="12">SUM(C61:N61)</f>
        <v>2540</v>
      </c>
      <c r="P61" s="14">
        <f>IFERROR(O61/O6,0)</f>
        <v>1.2681966497280197E-3</v>
      </c>
    </row>
    <row r="62" spans="1:16" ht="15" customHeight="1" x14ac:dyDescent="0.35">
      <c r="A62" s="13" t="s">
        <v>109</v>
      </c>
      <c r="B62" s="2" t="s">
        <v>110</v>
      </c>
      <c r="C62" s="3">
        <v>1500</v>
      </c>
      <c r="D62" s="3">
        <v>0</v>
      </c>
      <c r="E62" s="3">
        <v>1500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750</v>
      </c>
      <c r="L62" s="3">
        <v>0</v>
      </c>
      <c r="M62" s="3">
        <v>0</v>
      </c>
      <c r="N62" s="3">
        <v>1200</v>
      </c>
      <c r="O62" s="4">
        <f t="shared" si="12"/>
        <v>4950</v>
      </c>
      <c r="P62" s="14">
        <f>IFERROR(O62/O6,0)</f>
        <v>2.4714855969109046E-3</v>
      </c>
    </row>
    <row r="63" spans="1:16" ht="15" customHeight="1" x14ac:dyDescent="0.35">
      <c r="A63" s="13" t="s">
        <v>111</v>
      </c>
      <c r="B63" s="2" t="s">
        <v>112</v>
      </c>
      <c r="C63" s="3">
        <v>2000</v>
      </c>
      <c r="D63" s="3">
        <v>2000</v>
      </c>
      <c r="E63" s="3">
        <v>0</v>
      </c>
      <c r="F63" s="3">
        <v>0</v>
      </c>
      <c r="G63" s="3">
        <v>4000</v>
      </c>
      <c r="H63" s="3">
        <v>4000</v>
      </c>
      <c r="I63" s="3">
        <v>2000</v>
      </c>
      <c r="J63" s="3">
        <v>2000</v>
      </c>
      <c r="K63" s="3">
        <v>2000</v>
      </c>
      <c r="L63" s="3">
        <v>2000</v>
      </c>
      <c r="M63" s="3">
        <v>2000</v>
      </c>
      <c r="N63" s="3">
        <v>2000</v>
      </c>
      <c r="O63" s="4">
        <f t="shared" si="12"/>
        <v>24000</v>
      </c>
      <c r="P63" s="14">
        <f>IFERROR(O63/O6,0)</f>
        <v>1.1982960469871053E-2</v>
      </c>
    </row>
    <row r="64" spans="1:16" ht="15" customHeight="1" x14ac:dyDescent="0.35">
      <c r="A64" s="13" t="s">
        <v>113</v>
      </c>
      <c r="B64" s="2" t="s">
        <v>114</v>
      </c>
      <c r="C64" s="3">
        <v>500</v>
      </c>
      <c r="D64" s="3">
        <v>3250</v>
      </c>
      <c r="E64" s="3">
        <v>0</v>
      </c>
      <c r="F64" s="3">
        <v>0</v>
      </c>
      <c r="G64" s="3">
        <v>0</v>
      </c>
      <c r="H64" s="3">
        <v>200</v>
      </c>
      <c r="I64" s="3">
        <v>0</v>
      </c>
      <c r="J64" s="3">
        <v>0</v>
      </c>
      <c r="K64" s="3">
        <v>0</v>
      </c>
      <c r="L64" s="3">
        <v>0</v>
      </c>
      <c r="M64" s="3">
        <v>1500</v>
      </c>
      <c r="N64" s="3">
        <v>2100</v>
      </c>
      <c r="O64" s="4">
        <f t="shared" si="12"/>
        <v>7550</v>
      </c>
      <c r="P64" s="14">
        <f>IFERROR(O64/O6,0)</f>
        <v>3.7696396478136022E-3</v>
      </c>
    </row>
    <row r="65" spans="1:16" ht="15" customHeight="1" x14ac:dyDescent="0.35">
      <c r="A65" s="13" t="s">
        <v>115</v>
      </c>
      <c r="B65" s="2" t="s">
        <v>116</v>
      </c>
      <c r="C65" s="3">
        <v>395.43</v>
      </c>
      <c r="D65" s="3">
        <v>178.6</v>
      </c>
      <c r="E65" s="3">
        <v>133.69</v>
      </c>
      <c r="F65" s="3">
        <v>528.92999999999995</v>
      </c>
      <c r="G65" s="3">
        <v>347.05</v>
      </c>
      <c r="H65" s="3">
        <v>200.22</v>
      </c>
      <c r="I65" s="3">
        <v>179.24</v>
      </c>
      <c r="J65" s="3">
        <v>178.24</v>
      </c>
      <c r="K65" s="3">
        <v>183.69</v>
      </c>
      <c r="L65" s="3">
        <v>177.49</v>
      </c>
      <c r="M65" s="3">
        <v>177.74</v>
      </c>
      <c r="N65" s="3">
        <v>219.5</v>
      </c>
      <c r="O65" s="4">
        <f t="shared" si="12"/>
        <v>2899.8199999999997</v>
      </c>
      <c r="P65" s="14">
        <f>IFERROR(O65/O6,0)</f>
        <v>1.4478511845725614E-3</v>
      </c>
    </row>
    <row r="66" spans="1:16" ht="15" customHeight="1" x14ac:dyDescent="0.35">
      <c r="A66" s="13" t="s">
        <v>117</v>
      </c>
      <c r="B66" s="2" t="s">
        <v>118</v>
      </c>
      <c r="C66" s="3">
        <v>17.170000000000002</v>
      </c>
      <c r="D66" s="3">
        <v>22.63</v>
      </c>
      <c r="E66" s="3">
        <v>4.7</v>
      </c>
      <c r="F66" s="3">
        <v>14.78</v>
      </c>
      <c r="G66" s="3">
        <v>13.33</v>
      </c>
      <c r="H66" s="3">
        <v>14.39</v>
      </c>
      <c r="I66" s="3">
        <v>15.22</v>
      </c>
      <c r="J66" s="3">
        <v>16.350000000000001</v>
      </c>
      <c r="K66" s="3">
        <v>15.05</v>
      </c>
      <c r="L66" s="3">
        <v>13.2</v>
      </c>
      <c r="M66" s="3">
        <v>11.65</v>
      </c>
      <c r="N66" s="3">
        <v>20.75</v>
      </c>
      <c r="O66" s="4">
        <f t="shared" si="12"/>
        <v>179.22</v>
      </c>
      <c r="P66" s="14">
        <f>IFERROR(O66/O6,0)</f>
        <v>8.9482757308762082E-5</v>
      </c>
    </row>
    <row r="67" spans="1:16" ht="15" customHeight="1" x14ac:dyDescent="0.35">
      <c r="A67" s="13" t="s">
        <v>119</v>
      </c>
      <c r="B67" s="2" t="s">
        <v>120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12837.24</v>
      </c>
      <c r="M67" s="3">
        <v>0</v>
      </c>
      <c r="N67" s="3">
        <v>0</v>
      </c>
      <c r="O67" s="4">
        <f t="shared" si="12"/>
        <v>12837.24</v>
      </c>
      <c r="P67" s="14">
        <f>IFERROR(O67/O6,0)</f>
        <v>6.4095058109269777E-3</v>
      </c>
    </row>
    <row r="68" spans="1:16" ht="15" customHeight="1" x14ac:dyDescent="0.35">
      <c r="A68" s="13" t="s">
        <v>121</v>
      </c>
      <c r="B68" s="2" t="s">
        <v>122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4">
        <f t="shared" si="12"/>
        <v>0</v>
      </c>
      <c r="P68" s="14">
        <f>IFERROR(O68/O6,0)</f>
        <v>0</v>
      </c>
    </row>
    <row r="69" spans="1:16" ht="15" customHeight="1" x14ac:dyDescent="0.35">
      <c r="A69" s="13" t="s">
        <v>123</v>
      </c>
      <c r="B69" s="2" t="s">
        <v>124</v>
      </c>
      <c r="C69" s="3">
        <v>4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4">
        <f t="shared" si="12"/>
        <v>4</v>
      </c>
      <c r="P69" s="14">
        <f>IFERROR(O69/O6,0)</f>
        <v>1.9971600783118423E-6</v>
      </c>
    </row>
    <row r="70" spans="1:16" ht="15" customHeight="1" x14ac:dyDescent="0.35">
      <c r="A70" s="13" t="s">
        <v>125</v>
      </c>
      <c r="B70" s="2" t="s">
        <v>126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4808.84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4">
        <f t="shared" si="12"/>
        <v>4808.84</v>
      </c>
      <c r="P70" s="14">
        <f>IFERROR(O70/O6,0)</f>
        <v>2.4010058177472799E-3</v>
      </c>
    </row>
    <row r="71" spans="1:16" ht="15" customHeight="1" x14ac:dyDescent="0.35">
      <c r="A71" s="13" t="s">
        <v>127</v>
      </c>
      <c r="B71" s="2" t="s">
        <v>128</v>
      </c>
      <c r="C71" s="3">
        <v>0</v>
      </c>
      <c r="D71" s="3">
        <v>0</v>
      </c>
      <c r="E71" s="3">
        <v>0</v>
      </c>
      <c r="F71" s="3">
        <v>0</v>
      </c>
      <c r="G71" s="3">
        <v>691.25</v>
      </c>
      <c r="H71" s="3">
        <v>160</v>
      </c>
      <c r="I71" s="3">
        <v>5123</v>
      </c>
      <c r="J71" s="3">
        <v>179.4</v>
      </c>
      <c r="K71" s="3">
        <v>177</v>
      </c>
      <c r="L71" s="3">
        <v>0</v>
      </c>
      <c r="M71" s="3">
        <v>177.57</v>
      </c>
      <c r="N71" s="3">
        <v>177.21</v>
      </c>
      <c r="O71" s="4">
        <f t="shared" si="12"/>
        <v>6685.4299999999994</v>
      </c>
      <c r="P71" s="14">
        <f>IFERROR(O71/O6,0)</f>
        <v>3.3379684755870842E-3</v>
      </c>
    </row>
    <row r="72" spans="1:16" ht="15" customHeight="1" x14ac:dyDescent="0.35">
      <c r="A72" s="13" t="s">
        <v>129</v>
      </c>
      <c r="B72" s="2" t="s">
        <v>130</v>
      </c>
      <c r="C72" s="3">
        <v>0</v>
      </c>
      <c r="D72" s="3">
        <v>0</v>
      </c>
      <c r="E72" s="3">
        <v>0</v>
      </c>
      <c r="F72" s="3">
        <v>0</v>
      </c>
      <c r="G72" s="3">
        <v>160</v>
      </c>
      <c r="H72" s="3">
        <v>181.6</v>
      </c>
      <c r="I72" s="3">
        <v>177.45</v>
      </c>
      <c r="J72" s="3">
        <v>0</v>
      </c>
      <c r="K72" s="3">
        <v>0</v>
      </c>
      <c r="L72" s="3">
        <v>173.4</v>
      </c>
      <c r="M72" s="3">
        <v>0</v>
      </c>
      <c r="N72" s="3">
        <v>0</v>
      </c>
      <c r="O72" s="4">
        <f t="shared" si="12"/>
        <v>692.44999999999993</v>
      </c>
      <c r="P72" s="14">
        <f>IFERROR(O72/O6,0)</f>
        <v>3.4573337405675874E-4</v>
      </c>
    </row>
    <row r="73" spans="1:16" ht="15" customHeight="1" x14ac:dyDescent="0.35">
      <c r="A73" s="13" t="s">
        <v>131</v>
      </c>
      <c r="B73" s="2" t="s">
        <v>132</v>
      </c>
      <c r="C73" s="3">
        <v>689.76</v>
      </c>
      <c r="D73" s="3">
        <v>355.24</v>
      </c>
      <c r="E73" s="3">
        <v>44.83</v>
      </c>
      <c r="F73" s="3">
        <v>66.27</v>
      </c>
      <c r="G73" s="3">
        <v>154.66</v>
      </c>
      <c r="H73" s="3">
        <v>38.14</v>
      </c>
      <c r="I73" s="3">
        <v>58.05</v>
      </c>
      <c r="J73" s="3">
        <v>363.18</v>
      </c>
      <c r="K73" s="3">
        <v>591.04999999999995</v>
      </c>
      <c r="L73" s="3">
        <v>25</v>
      </c>
      <c r="M73" s="3">
        <v>163.56</v>
      </c>
      <c r="N73" s="3">
        <v>8.48</v>
      </c>
      <c r="O73" s="4">
        <f t="shared" si="12"/>
        <v>2558.2200000000003</v>
      </c>
      <c r="P73" s="14">
        <f>IFERROR(O73/O6,0)</f>
        <v>1.2772937138847303E-3</v>
      </c>
    </row>
    <row r="74" spans="1:16" ht="15" customHeight="1" x14ac:dyDescent="0.35">
      <c r="A74" s="13" t="s">
        <v>133</v>
      </c>
      <c r="B74" s="2" t="s">
        <v>134</v>
      </c>
      <c r="C74" s="3">
        <v>32.1</v>
      </c>
      <c r="D74" s="3">
        <v>0</v>
      </c>
      <c r="E74" s="3">
        <v>185.34</v>
      </c>
      <c r="F74" s="3">
        <v>0</v>
      </c>
      <c r="G74" s="3">
        <v>0</v>
      </c>
      <c r="H74" s="3">
        <v>32.1</v>
      </c>
      <c r="I74" s="3">
        <v>-1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4">
        <f t="shared" si="12"/>
        <v>248.54</v>
      </c>
      <c r="P74" s="14">
        <f>IFERROR(O74/O6,0)</f>
        <v>1.240935414659063E-4</v>
      </c>
    </row>
    <row r="75" spans="1:16" ht="15" customHeight="1" x14ac:dyDescent="0.35">
      <c r="A75" s="13" t="s">
        <v>135</v>
      </c>
      <c r="B75" s="2" t="s">
        <v>136</v>
      </c>
      <c r="C75" s="3">
        <v>188.5</v>
      </c>
      <c r="D75" s="3">
        <v>694.79</v>
      </c>
      <c r="E75" s="3">
        <v>0</v>
      </c>
      <c r="F75" s="3">
        <v>183.85</v>
      </c>
      <c r="G75" s="3">
        <v>0</v>
      </c>
      <c r="H75" s="3">
        <v>0</v>
      </c>
      <c r="I75" s="3">
        <v>635.59</v>
      </c>
      <c r="J75" s="3">
        <v>155.34</v>
      </c>
      <c r="K75" s="3">
        <v>0</v>
      </c>
      <c r="L75" s="3">
        <v>0</v>
      </c>
      <c r="M75" s="3">
        <v>0</v>
      </c>
      <c r="N75" s="3">
        <v>0</v>
      </c>
      <c r="O75" s="4">
        <f t="shared" si="12"/>
        <v>1858.07</v>
      </c>
      <c r="P75" s="14">
        <f>IFERROR(O75/O6,0)</f>
        <v>9.2771580667722108E-4</v>
      </c>
    </row>
    <row r="76" spans="1:16" ht="15" customHeight="1" x14ac:dyDescent="0.35">
      <c r="A76" s="13" t="s">
        <v>137</v>
      </c>
      <c r="B76" s="2" t="s">
        <v>138</v>
      </c>
      <c r="C76" s="3">
        <v>0</v>
      </c>
      <c r="D76" s="3">
        <v>0</v>
      </c>
      <c r="E76" s="3">
        <v>52.12</v>
      </c>
      <c r="F76" s="3">
        <v>0</v>
      </c>
      <c r="G76" s="3">
        <v>0</v>
      </c>
      <c r="H76" s="3">
        <v>101.69</v>
      </c>
      <c r="I76" s="3">
        <v>556.36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f t="shared" si="12"/>
        <v>710.17000000000007</v>
      </c>
      <c r="P76" s="14">
        <f>IFERROR(O76/O6,0)</f>
        <v>3.5458079320368027E-4</v>
      </c>
    </row>
    <row r="77" spans="1:16" ht="15" customHeight="1" x14ac:dyDescent="0.35">
      <c r="A77" s="13" t="s">
        <v>139</v>
      </c>
      <c r="B77" s="2" t="s">
        <v>140</v>
      </c>
      <c r="C77" s="3">
        <v>157.63</v>
      </c>
      <c r="D77" s="3">
        <v>0</v>
      </c>
      <c r="E77" s="3">
        <v>0</v>
      </c>
      <c r="F77" s="3">
        <v>74.58</v>
      </c>
      <c r="G77" s="3">
        <v>64.41</v>
      </c>
      <c r="H77" s="3">
        <v>356.77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f t="shared" si="12"/>
        <v>653.39</v>
      </c>
      <c r="P77" s="14">
        <f>IFERROR(O77/O6,0)</f>
        <v>3.2623110589204363E-4</v>
      </c>
    </row>
    <row r="78" spans="1:16" ht="15" customHeight="1" x14ac:dyDescent="0.35">
      <c r="A78" s="13" t="s">
        <v>141</v>
      </c>
      <c r="B78" s="2" t="s">
        <v>142</v>
      </c>
      <c r="C78" s="3">
        <v>0</v>
      </c>
      <c r="D78" s="3">
        <v>0</v>
      </c>
      <c r="E78" s="3">
        <v>0</v>
      </c>
      <c r="F78" s="3">
        <v>0</v>
      </c>
      <c r="G78" s="3">
        <v>11.18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4">
        <f t="shared" si="12"/>
        <v>11.18</v>
      </c>
      <c r="P78" s="14">
        <f>IFERROR(O78/O6,0)</f>
        <v>5.5820624188815988E-6</v>
      </c>
    </row>
    <row r="79" spans="1:16" ht="15" customHeight="1" x14ac:dyDescent="0.35">
      <c r="A79" s="13" t="s">
        <v>143</v>
      </c>
      <c r="B79" s="2" t="s">
        <v>144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550.33000000000004</v>
      </c>
      <c r="O79" s="4">
        <f t="shared" si="12"/>
        <v>550.33000000000004</v>
      </c>
      <c r="P79" s="14">
        <f>IFERROR(O79/O6,0)</f>
        <v>2.7477427647433906E-4</v>
      </c>
    </row>
    <row r="80" spans="1:16" ht="15" customHeight="1" x14ac:dyDescent="0.35">
      <c r="A80" s="13" t="s">
        <v>145</v>
      </c>
      <c r="B80" s="2" t="s">
        <v>146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2192.44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4">
        <f t="shared" si="12"/>
        <v>2192.44</v>
      </c>
      <c r="P80" s="14">
        <f>IFERROR(O80/O6,0)</f>
        <v>1.0946634105235039E-3</v>
      </c>
    </row>
    <row r="81" spans="1:16" ht="18" customHeight="1" x14ac:dyDescent="0.35">
      <c r="A81" s="37" t="s">
        <v>147</v>
      </c>
      <c r="B81" s="38"/>
      <c r="C81" s="39">
        <f t="shared" ref="C81:N81" si="13">C61+C62+C63+C64+C65+C66+C67+C68+C69+C70+C71+C72+C73+C74+C75+C76+C77+C78+C79+C80</f>
        <v>7784.5900000000011</v>
      </c>
      <c r="D81" s="39">
        <f t="shared" si="13"/>
        <v>6501.26</v>
      </c>
      <c r="E81" s="39">
        <f t="shared" si="13"/>
        <v>1920.6799999999998</v>
      </c>
      <c r="F81" s="39">
        <f t="shared" si="13"/>
        <v>1108.4099999999999</v>
      </c>
      <c r="G81" s="39">
        <f t="shared" si="13"/>
        <v>5441.88</v>
      </c>
      <c r="H81" s="39">
        <f t="shared" si="13"/>
        <v>12286.190000000002</v>
      </c>
      <c r="I81" s="39">
        <f t="shared" si="13"/>
        <v>8743.91</v>
      </c>
      <c r="J81" s="39">
        <f t="shared" si="13"/>
        <v>2892.5099999999998</v>
      </c>
      <c r="K81" s="39">
        <f t="shared" si="13"/>
        <v>3716.79</v>
      </c>
      <c r="L81" s="39">
        <f t="shared" si="13"/>
        <v>15226.33</v>
      </c>
      <c r="M81" s="39">
        <f t="shared" si="13"/>
        <v>4030.52</v>
      </c>
      <c r="N81" s="39">
        <f t="shared" si="13"/>
        <v>6276.2699999999995</v>
      </c>
      <c r="O81" s="40">
        <f t="shared" si="12"/>
        <v>75929.340000000026</v>
      </c>
      <c r="P81" s="41">
        <f>IFERROR(O81/O6,0)</f>
        <v>3.7910761655141637E-2</v>
      </c>
    </row>
    <row r="82" spans="1:16" ht="10.5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9.5" customHeight="1" x14ac:dyDescent="0.35">
      <c r="A83" s="432" t="s">
        <v>148</v>
      </c>
      <c r="B83" s="432"/>
      <c r="C83" s="432"/>
      <c r="D83" s="432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</row>
    <row r="84" spans="1:16" ht="15" customHeight="1" x14ac:dyDescent="0.35">
      <c r="A84" s="13" t="s">
        <v>149</v>
      </c>
      <c r="B84" s="2" t="s">
        <v>150</v>
      </c>
      <c r="C84" s="3">
        <v>50842.5</v>
      </c>
      <c r="D84" s="3">
        <v>49882.5</v>
      </c>
      <c r="E84" s="3">
        <v>49477.5</v>
      </c>
      <c r="F84" s="3">
        <v>50449.5</v>
      </c>
      <c r="G84" s="3">
        <v>49896</v>
      </c>
      <c r="H84" s="3">
        <v>48586.5</v>
      </c>
      <c r="I84" s="3">
        <v>48168</v>
      </c>
      <c r="J84" s="3">
        <v>48505.5</v>
      </c>
      <c r="K84" s="3">
        <v>48019.5</v>
      </c>
      <c r="L84" s="3">
        <v>46534.5</v>
      </c>
      <c r="M84" s="3">
        <v>46737</v>
      </c>
      <c r="N84" s="3">
        <v>46443.5</v>
      </c>
      <c r="O84" s="4">
        <f t="shared" ref="O84:O99" si="14">SUM(C84:N84)</f>
        <v>583542.5</v>
      </c>
      <c r="P84" s="14">
        <f>IFERROR(O84/O6,0)</f>
        <v>0.29135694624957204</v>
      </c>
    </row>
    <row r="85" spans="1:16" ht="15" customHeight="1" x14ac:dyDescent="0.35">
      <c r="A85" s="13" t="s">
        <v>151</v>
      </c>
      <c r="B85" s="2" t="s">
        <v>152</v>
      </c>
      <c r="C85" s="3">
        <v>156.78</v>
      </c>
      <c r="D85" s="3">
        <v>0</v>
      </c>
      <c r="E85" s="3">
        <v>0</v>
      </c>
      <c r="F85" s="3">
        <v>313.56</v>
      </c>
      <c r="G85" s="3">
        <v>0</v>
      </c>
      <c r="H85" s="3">
        <v>313.56</v>
      </c>
      <c r="I85" s="3">
        <v>0</v>
      </c>
      <c r="J85" s="3">
        <v>156.78</v>
      </c>
      <c r="K85" s="3">
        <v>156.78</v>
      </c>
      <c r="L85" s="3">
        <v>156.78</v>
      </c>
      <c r="M85" s="3">
        <v>156.78</v>
      </c>
      <c r="N85" s="3">
        <v>156.78</v>
      </c>
      <c r="O85" s="4">
        <f t="shared" si="14"/>
        <v>1567.8</v>
      </c>
      <c r="P85" s="14">
        <f>IFERROR(O85/O6,0)</f>
        <v>7.827868926943265E-4</v>
      </c>
    </row>
    <row r="86" spans="1:16" ht="15" customHeight="1" x14ac:dyDescent="0.35">
      <c r="A86" s="13" t="s">
        <v>153</v>
      </c>
      <c r="B86" s="2" t="s">
        <v>154</v>
      </c>
      <c r="C86" s="3">
        <v>184.75</v>
      </c>
      <c r="D86" s="3">
        <v>184.75</v>
      </c>
      <c r="E86" s="3">
        <v>0</v>
      </c>
      <c r="F86" s="3">
        <v>0</v>
      </c>
      <c r="G86" s="3">
        <v>123.42</v>
      </c>
      <c r="H86" s="3">
        <v>88.98</v>
      </c>
      <c r="I86" s="3">
        <v>88.98</v>
      </c>
      <c r="J86" s="3">
        <v>88.98</v>
      </c>
      <c r="K86" s="3">
        <v>0</v>
      </c>
      <c r="L86" s="3">
        <v>88.98</v>
      </c>
      <c r="M86" s="3">
        <v>88.98</v>
      </c>
      <c r="N86" s="3">
        <v>172.88</v>
      </c>
      <c r="O86" s="4">
        <f t="shared" si="14"/>
        <v>1110.7</v>
      </c>
      <c r="P86" s="14">
        <f>IFERROR(O86/O6,0)</f>
        <v>5.5456142474524079E-4</v>
      </c>
    </row>
    <row r="87" spans="1:16" ht="15" customHeight="1" x14ac:dyDescent="0.35">
      <c r="A87" s="13" t="s">
        <v>155</v>
      </c>
      <c r="B87" s="2" t="s">
        <v>156</v>
      </c>
      <c r="C87" s="3">
        <v>1159.1600000000001</v>
      </c>
      <c r="D87" s="3">
        <v>0</v>
      </c>
      <c r="E87" s="3">
        <v>0</v>
      </c>
      <c r="F87" s="3">
        <v>18</v>
      </c>
      <c r="G87" s="3">
        <v>0</v>
      </c>
      <c r="H87" s="3">
        <v>402.54</v>
      </c>
      <c r="I87" s="3">
        <v>0</v>
      </c>
      <c r="J87" s="3">
        <v>1420</v>
      </c>
      <c r="K87" s="3">
        <v>0</v>
      </c>
      <c r="L87" s="3">
        <v>0</v>
      </c>
      <c r="M87" s="3">
        <v>0</v>
      </c>
      <c r="N87" s="3">
        <v>0</v>
      </c>
      <c r="O87" s="4">
        <f t="shared" si="14"/>
        <v>2999.7</v>
      </c>
      <c r="P87" s="14">
        <f>IFERROR(O87/O6,0)</f>
        <v>1.4977202717280081E-3</v>
      </c>
    </row>
    <row r="88" spans="1:16" ht="15" customHeight="1" x14ac:dyDescent="0.35">
      <c r="A88" s="13" t="s">
        <v>157</v>
      </c>
      <c r="B88" s="2" t="s">
        <v>158</v>
      </c>
      <c r="C88" s="3">
        <v>0</v>
      </c>
      <c r="D88" s="3">
        <v>0</v>
      </c>
      <c r="E88" s="3">
        <v>800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250</v>
      </c>
      <c r="N88" s="3">
        <v>0</v>
      </c>
      <c r="O88" s="4">
        <f t="shared" si="14"/>
        <v>1050</v>
      </c>
      <c r="P88" s="14">
        <f>IFERROR(O88/O6,0)</f>
        <v>5.2425452055685862E-4</v>
      </c>
    </row>
    <row r="89" spans="1:16" ht="15" customHeight="1" x14ac:dyDescent="0.35">
      <c r="A89" s="13" t="s">
        <v>159</v>
      </c>
      <c r="B89" s="2" t="s">
        <v>160</v>
      </c>
      <c r="C89" s="3">
        <v>1200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4">
        <f t="shared" si="14"/>
        <v>1200</v>
      </c>
      <c r="P89" s="14">
        <f>IFERROR(O89/O6,0)</f>
        <v>5.9914802349355267E-4</v>
      </c>
    </row>
    <row r="90" spans="1:16" ht="15" customHeight="1" x14ac:dyDescent="0.35">
      <c r="A90" s="13" t="s">
        <v>161</v>
      </c>
      <c r="B90" s="2" t="s">
        <v>162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6500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4">
        <f t="shared" si="14"/>
        <v>6500</v>
      </c>
      <c r="P90" s="14">
        <f>IFERROR(O90/O6,0)</f>
        <v>3.2453851272567437E-3</v>
      </c>
    </row>
    <row r="91" spans="1:16" ht="15" customHeight="1" x14ac:dyDescent="0.35">
      <c r="A91" s="13" t="s">
        <v>163</v>
      </c>
      <c r="B91" s="2" t="s">
        <v>164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149.46</v>
      </c>
      <c r="O91" s="4">
        <f t="shared" si="14"/>
        <v>149.46</v>
      </c>
      <c r="P91" s="14">
        <f>IFERROR(O91/O6,0)</f>
        <v>7.4623886326121987E-5</v>
      </c>
    </row>
    <row r="92" spans="1:16" ht="15" customHeight="1" x14ac:dyDescent="0.35">
      <c r="A92" s="13" t="s">
        <v>165</v>
      </c>
      <c r="B92" s="2" t="s">
        <v>166</v>
      </c>
      <c r="C92" s="3">
        <v>1040</v>
      </c>
      <c r="D92" s="3">
        <v>2606.67</v>
      </c>
      <c r="E92" s="3">
        <v>1700</v>
      </c>
      <c r="F92" s="3">
        <v>3557.44</v>
      </c>
      <c r="G92" s="3">
        <v>1813</v>
      </c>
      <c r="H92" s="3">
        <v>1946.66</v>
      </c>
      <c r="I92" s="3">
        <v>2040</v>
      </c>
      <c r="J92" s="3">
        <v>906.4</v>
      </c>
      <c r="K92" s="3">
        <v>0</v>
      </c>
      <c r="L92" s="3">
        <v>0</v>
      </c>
      <c r="M92" s="3">
        <v>0</v>
      </c>
      <c r="N92" s="3">
        <v>400</v>
      </c>
      <c r="O92" s="4">
        <f t="shared" si="14"/>
        <v>16010.17</v>
      </c>
      <c r="P92" s="14">
        <f>IFERROR(O92/O6,0)</f>
        <v>7.9937180927464758E-3</v>
      </c>
    </row>
    <row r="93" spans="1:16" ht="15" customHeight="1" x14ac:dyDescent="0.35">
      <c r="A93" s="13" t="s">
        <v>167</v>
      </c>
      <c r="B93" s="2" t="s">
        <v>168</v>
      </c>
      <c r="C93" s="3">
        <v>100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234</v>
      </c>
      <c r="K93" s="3">
        <v>0</v>
      </c>
      <c r="L93" s="3">
        <v>375</v>
      </c>
      <c r="M93" s="3">
        <v>0</v>
      </c>
      <c r="N93" s="3">
        <v>360</v>
      </c>
      <c r="O93" s="4">
        <f t="shared" si="14"/>
        <v>1069</v>
      </c>
      <c r="P93" s="14">
        <f>IFERROR(O93/O6,0)</f>
        <v>5.337410309288398E-4</v>
      </c>
    </row>
    <row r="94" spans="1:16" ht="15" customHeight="1" x14ac:dyDescent="0.35">
      <c r="A94" s="13" t="s">
        <v>169</v>
      </c>
      <c r="B94" s="2" t="s">
        <v>170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15</v>
      </c>
      <c r="J94" s="3">
        <v>20</v>
      </c>
      <c r="K94" s="3">
        <v>0</v>
      </c>
      <c r="L94" s="3">
        <v>0</v>
      </c>
      <c r="M94" s="3">
        <v>470</v>
      </c>
      <c r="N94" s="3">
        <v>0</v>
      </c>
      <c r="O94" s="4">
        <f t="shared" si="14"/>
        <v>505</v>
      </c>
      <c r="P94" s="14">
        <f>IFERROR(O94/O6,0)</f>
        <v>2.5214145988687006E-4</v>
      </c>
    </row>
    <row r="95" spans="1:16" ht="15" customHeight="1" x14ac:dyDescent="0.35">
      <c r="A95" s="13" t="s">
        <v>171</v>
      </c>
      <c r="B95" s="2" t="s">
        <v>172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423.73</v>
      </c>
      <c r="I95" s="3">
        <v>0</v>
      </c>
      <c r="J95" s="3">
        <v>0</v>
      </c>
      <c r="K95" s="3">
        <v>0</v>
      </c>
      <c r="L95" s="3">
        <v>145</v>
      </c>
      <c r="M95" s="3">
        <v>185</v>
      </c>
      <c r="N95" s="3">
        <v>165</v>
      </c>
      <c r="O95" s="4">
        <f t="shared" si="14"/>
        <v>918.73</v>
      </c>
      <c r="P95" s="14">
        <f>IFERROR(O95/O6,0)</f>
        <v>4.587127196868597E-4</v>
      </c>
    </row>
    <row r="96" spans="1:16" ht="15" customHeight="1" x14ac:dyDescent="0.35">
      <c r="A96" s="13" t="s">
        <v>173</v>
      </c>
      <c r="B96" s="2" t="s">
        <v>174</v>
      </c>
      <c r="C96" s="3">
        <v>238.2</v>
      </c>
      <c r="D96" s="3">
        <v>371.94</v>
      </c>
      <c r="E96" s="3">
        <v>530.4</v>
      </c>
      <c r="F96" s="3">
        <v>252.5</v>
      </c>
      <c r="G96" s="3">
        <v>328.5</v>
      </c>
      <c r="H96" s="3">
        <v>228</v>
      </c>
      <c r="I96" s="3">
        <v>650</v>
      </c>
      <c r="J96" s="3">
        <v>524.09</v>
      </c>
      <c r="K96" s="3">
        <v>141.4</v>
      </c>
      <c r="L96" s="3">
        <v>108.2</v>
      </c>
      <c r="M96" s="3">
        <v>481.3</v>
      </c>
      <c r="N96" s="3">
        <v>0</v>
      </c>
      <c r="O96" s="4">
        <f t="shared" si="14"/>
        <v>3854.53</v>
      </c>
      <c r="P96" s="14">
        <f>IFERROR(O96/O6,0)</f>
        <v>1.9245283591638363E-3</v>
      </c>
    </row>
    <row r="97" spans="1:16" ht="15" customHeight="1" x14ac:dyDescent="0.35">
      <c r="A97" s="13" t="s">
        <v>175</v>
      </c>
      <c r="B97" s="2" t="s">
        <v>176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127.27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4">
        <f t="shared" si="14"/>
        <v>127.27</v>
      </c>
      <c r="P97" s="14">
        <f>IFERROR(O97/O6,0)</f>
        <v>6.3544640791687033E-5</v>
      </c>
    </row>
    <row r="98" spans="1:16" ht="15" customHeight="1" x14ac:dyDescent="0.35">
      <c r="A98" s="13" t="s">
        <v>177</v>
      </c>
      <c r="B98" s="2" t="s">
        <v>178</v>
      </c>
      <c r="C98" s="3">
        <v>208</v>
      </c>
      <c r="D98" s="3">
        <v>128</v>
      </c>
      <c r="E98" s="3">
        <v>106.5</v>
      </c>
      <c r="F98" s="3">
        <v>0</v>
      </c>
      <c r="G98" s="3">
        <v>355.2</v>
      </c>
      <c r="H98" s="3">
        <v>122.7</v>
      </c>
      <c r="I98" s="3">
        <v>425.34</v>
      </c>
      <c r="J98" s="3">
        <v>116.23</v>
      </c>
      <c r="K98" s="3">
        <v>683.26</v>
      </c>
      <c r="L98" s="3">
        <v>0</v>
      </c>
      <c r="M98" s="3">
        <v>0</v>
      </c>
      <c r="N98" s="3">
        <v>0</v>
      </c>
      <c r="O98" s="4">
        <f t="shared" si="14"/>
        <v>2145.23</v>
      </c>
      <c r="P98" s="14">
        <f>IFERROR(O98/O6,0)</f>
        <v>1.0710919286992283E-3</v>
      </c>
    </row>
    <row r="99" spans="1:16" ht="18" customHeight="1" x14ac:dyDescent="0.35">
      <c r="A99" s="42" t="s">
        <v>179</v>
      </c>
      <c r="B99" s="29"/>
      <c r="C99" s="43">
        <f t="shared" ref="C99:N99" si="15">C84+C85+C86+C87+C88+C89+C90+C91+C92+C93+C94+C95+C96+C97+C98</f>
        <v>55129.39</v>
      </c>
      <c r="D99" s="43">
        <f t="shared" si="15"/>
        <v>53173.86</v>
      </c>
      <c r="E99" s="43">
        <f t="shared" si="15"/>
        <v>52614.400000000001</v>
      </c>
      <c r="F99" s="43">
        <f t="shared" si="15"/>
        <v>54591</v>
      </c>
      <c r="G99" s="43">
        <f t="shared" si="15"/>
        <v>52516.119999999995</v>
      </c>
      <c r="H99" s="43">
        <f t="shared" si="15"/>
        <v>58739.94</v>
      </c>
      <c r="I99" s="43">
        <f t="shared" si="15"/>
        <v>51387.32</v>
      </c>
      <c r="J99" s="43">
        <f t="shared" si="15"/>
        <v>51971.98</v>
      </c>
      <c r="K99" s="43">
        <f t="shared" si="15"/>
        <v>49000.94</v>
      </c>
      <c r="L99" s="43">
        <f t="shared" si="15"/>
        <v>47408.46</v>
      </c>
      <c r="M99" s="43">
        <f t="shared" si="15"/>
        <v>48369.060000000005</v>
      </c>
      <c r="N99" s="43">
        <f t="shared" si="15"/>
        <v>47847.619999999995</v>
      </c>
      <c r="O99" s="44">
        <f t="shared" si="14"/>
        <v>622750.09000000008</v>
      </c>
      <c r="P99" s="45">
        <f>IFERROR(O99/O6,0)</f>
        <v>0.31093290462827672</v>
      </c>
    </row>
    <row r="100" spans="1:16" ht="7.5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24" customHeight="1" x14ac:dyDescent="0.35">
      <c r="A101" s="46" t="s">
        <v>180</v>
      </c>
      <c r="B101" s="47"/>
      <c r="C101" s="48">
        <f t="shared" ref="C101:N101" si="16">C58-C81-C99</f>
        <v>24915.24000000002</v>
      </c>
      <c r="D101" s="48">
        <f t="shared" si="16"/>
        <v>32649.420000000013</v>
      </c>
      <c r="E101" s="48">
        <f t="shared" si="16"/>
        <v>41786.149999999987</v>
      </c>
      <c r="F101" s="48">
        <f t="shared" si="16"/>
        <v>13391.859999999986</v>
      </c>
      <c r="G101" s="48">
        <f t="shared" si="16"/>
        <v>6665.3000000000175</v>
      </c>
      <c r="H101" s="48">
        <f t="shared" si="16"/>
        <v>-6522.320000000007</v>
      </c>
      <c r="I101" s="48">
        <f t="shared" si="16"/>
        <v>19179.989999999983</v>
      </c>
      <c r="J101" s="48">
        <f t="shared" si="16"/>
        <v>30010.350000000013</v>
      </c>
      <c r="K101" s="48">
        <f t="shared" si="16"/>
        <v>-12397.239999999983</v>
      </c>
      <c r="L101" s="48">
        <f t="shared" si="16"/>
        <v>-13120.409999999996</v>
      </c>
      <c r="M101" s="48">
        <f t="shared" si="16"/>
        <v>-7589.2999999999884</v>
      </c>
      <c r="N101" s="48">
        <f t="shared" si="16"/>
        <v>36703.550000000017</v>
      </c>
      <c r="O101" s="49">
        <f>SUM(C101:N101)</f>
        <v>165672.59000000005</v>
      </c>
      <c r="P101" s="50">
        <f>IFERROR(O101/O6,0)</f>
        <v>8.2718670704631458E-2</v>
      </c>
    </row>
    <row r="102" spans="1:16" ht="13.5" customHeight="1" x14ac:dyDescent="0.35">
      <c r="A102" s="25" t="s">
        <v>181</v>
      </c>
      <c r="B102" s="7"/>
      <c r="C102" s="26">
        <f t="shared" ref="C102:O102" si="17">IFERROR(C101/C6,0)</f>
        <v>0.12951725746899059</v>
      </c>
      <c r="D102" s="26">
        <f t="shared" si="17"/>
        <v>0.15235566575755621</v>
      </c>
      <c r="E102" s="26">
        <f t="shared" si="17"/>
        <v>0.26273287231276021</v>
      </c>
      <c r="F102" s="26">
        <f t="shared" si="17"/>
        <v>8.2464776759320749E-2</v>
      </c>
      <c r="G102" s="26">
        <f t="shared" si="17"/>
        <v>4.5448610095410631E-2</v>
      </c>
      <c r="H102" s="26">
        <f t="shared" si="17"/>
        <v>-4.3855666664873665E-2</v>
      </c>
      <c r="I102" s="26">
        <f t="shared" si="17"/>
        <v>0.10341916445467436</v>
      </c>
      <c r="J102" s="26">
        <f t="shared" si="17"/>
        <v>0.16885353165055306</v>
      </c>
      <c r="K102" s="26">
        <f t="shared" si="17"/>
        <v>-8.8915531235090661E-2</v>
      </c>
      <c r="L102" s="26">
        <f t="shared" si="17"/>
        <v>-9.1091179212753781E-2</v>
      </c>
      <c r="M102" s="26">
        <f t="shared" si="17"/>
        <v>-5.4169308764417487E-2</v>
      </c>
      <c r="N102" s="26">
        <f t="shared" si="17"/>
        <v>0.19056491685112129</v>
      </c>
      <c r="O102" s="27">
        <f t="shared" si="17"/>
        <v>8.2718670704631458E-2</v>
      </c>
      <c r="P102" s="7"/>
    </row>
    <row r="103" spans="1:16" ht="13.5" customHeight="1" x14ac:dyDescent="0.35">
      <c r="A103" s="51" t="s">
        <v>182</v>
      </c>
      <c r="B103" s="52"/>
      <c r="C103" s="53">
        <f>C101</f>
        <v>24915.24000000002</v>
      </c>
      <c r="D103" s="53">
        <f t="shared" ref="D103:N103" si="18">C103+D101</f>
        <v>57564.660000000033</v>
      </c>
      <c r="E103" s="53">
        <f t="shared" si="18"/>
        <v>99350.810000000027</v>
      </c>
      <c r="F103" s="53">
        <f t="shared" si="18"/>
        <v>112742.67000000001</v>
      </c>
      <c r="G103" s="53">
        <f t="shared" si="18"/>
        <v>119407.97000000003</v>
      </c>
      <c r="H103" s="53">
        <f t="shared" si="18"/>
        <v>112885.65000000002</v>
      </c>
      <c r="I103" s="53">
        <f t="shared" si="18"/>
        <v>132065.64000000001</v>
      </c>
      <c r="J103" s="53">
        <f t="shared" si="18"/>
        <v>162075.99000000002</v>
      </c>
      <c r="K103" s="53">
        <f t="shared" si="18"/>
        <v>149678.75000000003</v>
      </c>
      <c r="L103" s="53">
        <f t="shared" si="18"/>
        <v>136558.34000000003</v>
      </c>
      <c r="M103" s="53">
        <f t="shared" si="18"/>
        <v>128969.04000000004</v>
      </c>
      <c r="N103" s="53">
        <f t="shared" si="18"/>
        <v>165672.59000000005</v>
      </c>
      <c r="O103" s="54">
        <f>O101</f>
        <v>165672.59000000005</v>
      </c>
      <c r="P103" s="52"/>
    </row>
    <row r="104" spans="1:16" ht="4.5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9.5" customHeight="1" x14ac:dyDescent="0.35">
      <c r="A105" s="433" t="s">
        <v>183</v>
      </c>
      <c r="B105" s="433"/>
      <c r="C105" s="433"/>
      <c r="D105" s="433"/>
      <c r="E105" s="433"/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</row>
    <row r="106" spans="1:16" ht="15" customHeight="1" x14ac:dyDescent="0.35">
      <c r="A106" s="13" t="s">
        <v>184</v>
      </c>
      <c r="B106" s="2" t="s">
        <v>185</v>
      </c>
      <c r="C106" s="3">
        <v>1231.26</v>
      </c>
      <c r="D106" s="3">
        <v>1231.26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f t="shared" ref="O106:O112" si="19">SUM(C106:N106)</f>
        <v>2462.52</v>
      </c>
      <c r="P106" s="14">
        <f>IFERROR(O106/O6,0)</f>
        <v>1.2295116590111193E-3</v>
      </c>
    </row>
    <row r="107" spans="1:16" ht="15" customHeight="1" x14ac:dyDescent="0.35">
      <c r="A107" s="13" t="s">
        <v>186</v>
      </c>
      <c r="B107" s="2" t="s">
        <v>187</v>
      </c>
      <c r="C107" s="3">
        <v>135.94999999999999</v>
      </c>
      <c r="D107" s="3">
        <v>135.94999999999999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111.02</v>
      </c>
      <c r="M107" s="3">
        <v>111.02</v>
      </c>
      <c r="N107" s="3">
        <v>111.02</v>
      </c>
      <c r="O107" s="4">
        <f t="shared" si="19"/>
        <v>604.95999999999992</v>
      </c>
      <c r="P107" s="14">
        <f>IFERROR(O107/O6,0)</f>
        <v>3.0205049024388297E-4</v>
      </c>
    </row>
    <row r="108" spans="1:16" ht="15" customHeight="1" x14ac:dyDescent="0.35">
      <c r="A108" s="13" t="s">
        <v>188</v>
      </c>
      <c r="B108" s="2" t="s">
        <v>189</v>
      </c>
      <c r="C108" s="3">
        <v>199.89</v>
      </c>
      <c r="D108" s="3">
        <v>199.89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93.82</v>
      </c>
      <c r="M108" s="3">
        <v>93.82</v>
      </c>
      <c r="N108" s="3">
        <v>93.82</v>
      </c>
      <c r="O108" s="4">
        <f t="shared" si="19"/>
        <v>681.24</v>
      </c>
      <c r="P108" s="14">
        <f>IFERROR(O108/O6,0)</f>
        <v>3.4013633293728982E-4</v>
      </c>
    </row>
    <row r="109" spans="1:16" ht="15" customHeight="1" x14ac:dyDescent="0.35">
      <c r="A109" s="13" t="s">
        <v>190</v>
      </c>
      <c r="B109" s="2" t="s">
        <v>191</v>
      </c>
      <c r="C109" s="3">
        <v>401.27</v>
      </c>
      <c r="D109" s="3">
        <v>401.27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26.67</v>
      </c>
      <c r="L109" s="3">
        <v>206.49</v>
      </c>
      <c r="M109" s="3">
        <v>206.49</v>
      </c>
      <c r="N109" s="3">
        <v>206.49</v>
      </c>
      <c r="O109" s="4">
        <f t="shared" si="19"/>
        <v>1448.6799999999998</v>
      </c>
      <c r="P109" s="14">
        <f>IFERROR(O109/O6,0)</f>
        <v>7.2331146556219982E-4</v>
      </c>
    </row>
    <row r="110" spans="1:16" ht="15" customHeight="1" x14ac:dyDescent="0.35">
      <c r="A110" s="13" t="s">
        <v>192</v>
      </c>
      <c r="B110" s="2" t="s">
        <v>193</v>
      </c>
      <c r="C110" s="3">
        <v>749</v>
      </c>
      <c r="D110" s="3">
        <v>749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277.11</v>
      </c>
      <c r="M110" s="3">
        <v>277.11</v>
      </c>
      <c r="N110" s="3">
        <v>277.11</v>
      </c>
      <c r="O110" s="4">
        <f t="shared" si="19"/>
        <v>2329.3300000000004</v>
      </c>
      <c r="P110" s="14">
        <f>IFERROR(O110/O6,0)</f>
        <v>1.1630112213035311E-3</v>
      </c>
    </row>
    <row r="111" spans="1:16" ht="18" customHeight="1" x14ac:dyDescent="0.35">
      <c r="A111" s="55" t="s">
        <v>194</v>
      </c>
      <c r="B111" s="38"/>
      <c r="C111" s="56">
        <f t="shared" ref="C111:N111" si="20">C106+C107+C108+C109+C110</f>
        <v>2717.37</v>
      </c>
      <c r="D111" s="56">
        <f t="shared" si="20"/>
        <v>2717.37</v>
      </c>
      <c r="E111" s="56">
        <f t="shared" si="20"/>
        <v>0</v>
      </c>
      <c r="F111" s="56">
        <f t="shared" si="20"/>
        <v>0</v>
      </c>
      <c r="G111" s="56">
        <f t="shared" si="20"/>
        <v>0</v>
      </c>
      <c r="H111" s="56">
        <f t="shared" si="20"/>
        <v>0</v>
      </c>
      <c r="I111" s="56">
        <f t="shared" si="20"/>
        <v>0</v>
      </c>
      <c r="J111" s="56">
        <f t="shared" si="20"/>
        <v>0</v>
      </c>
      <c r="K111" s="56">
        <f t="shared" si="20"/>
        <v>26.67</v>
      </c>
      <c r="L111" s="56">
        <f t="shared" si="20"/>
        <v>688.44</v>
      </c>
      <c r="M111" s="56">
        <f t="shared" si="20"/>
        <v>688.44</v>
      </c>
      <c r="N111" s="56">
        <f t="shared" si="20"/>
        <v>688.44</v>
      </c>
      <c r="O111" s="57">
        <f t="shared" si="19"/>
        <v>7526.7300000000014</v>
      </c>
      <c r="P111" s="58">
        <f>IFERROR(O111/O6,0)</f>
        <v>3.7580211690580235E-3</v>
      </c>
    </row>
    <row r="112" spans="1:16" ht="18" customHeight="1" x14ac:dyDescent="0.35">
      <c r="A112" s="59" t="s">
        <v>195</v>
      </c>
      <c r="B112" s="29"/>
      <c r="C112" s="44">
        <f t="shared" ref="C112:N112" si="21">C101-C111</f>
        <v>22197.870000000021</v>
      </c>
      <c r="D112" s="44">
        <f t="shared" si="21"/>
        <v>29932.050000000014</v>
      </c>
      <c r="E112" s="44">
        <f t="shared" si="21"/>
        <v>41786.149999999987</v>
      </c>
      <c r="F112" s="44">
        <f t="shared" si="21"/>
        <v>13391.859999999986</v>
      </c>
      <c r="G112" s="44">
        <f t="shared" si="21"/>
        <v>6665.3000000000175</v>
      </c>
      <c r="H112" s="44">
        <f t="shared" si="21"/>
        <v>-6522.320000000007</v>
      </c>
      <c r="I112" s="44">
        <f t="shared" si="21"/>
        <v>19179.989999999983</v>
      </c>
      <c r="J112" s="44">
        <f t="shared" si="21"/>
        <v>30010.350000000013</v>
      </c>
      <c r="K112" s="44">
        <f t="shared" si="21"/>
        <v>-12423.909999999983</v>
      </c>
      <c r="L112" s="44">
        <f t="shared" si="21"/>
        <v>-13808.849999999997</v>
      </c>
      <c r="M112" s="44">
        <f t="shared" si="21"/>
        <v>-8277.7399999999889</v>
      </c>
      <c r="N112" s="44">
        <f t="shared" si="21"/>
        <v>36015.110000000015</v>
      </c>
      <c r="O112" s="60">
        <f t="shared" si="19"/>
        <v>158145.86000000004</v>
      </c>
      <c r="P112" s="61">
        <f>IFERROR(O112/O6,0)</f>
        <v>7.8960649535573427E-2</v>
      </c>
    </row>
    <row r="113" spans="1:16" ht="4.5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9.5" customHeight="1" x14ac:dyDescent="0.35">
      <c r="A114" s="428" t="s">
        <v>196</v>
      </c>
      <c r="B114" s="428"/>
      <c r="C114" s="428"/>
      <c r="D114" s="428"/>
      <c r="E114" s="428"/>
      <c r="F114" s="428"/>
      <c r="G114" s="428"/>
      <c r="H114" s="428"/>
      <c r="I114" s="428"/>
      <c r="J114" s="428"/>
      <c r="K114" s="428"/>
      <c r="L114" s="428"/>
      <c r="M114" s="428"/>
      <c r="N114" s="428"/>
      <c r="O114" s="428"/>
      <c r="P114" s="428"/>
    </row>
    <row r="115" spans="1:16" ht="15" customHeight="1" x14ac:dyDescent="0.35">
      <c r="A115" s="13" t="s">
        <v>197</v>
      </c>
      <c r="B115" s="2" t="s">
        <v>198</v>
      </c>
      <c r="C115" s="3">
        <v>7150.54</v>
      </c>
      <c r="D115" s="3">
        <v>2295.87</v>
      </c>
      <c r="E115" s="3">
        <v>7.1</v>
      </c>
      <c r="F115" s="3">
        <v>1021.44</v>
      </c>
      <c r="G115" s="3">
        <v>1080.55</v>
      </c>
      <c r="H115" s="3">
        <v>1416.8</v>
      </c>
      <c r="I115" s="3">
        <v>1973.99</v>
      </c>
      <c r="J115" s="3">
        <v>1217.83</v>
      </c>
      <c r="K115" s="3">
        <v>1318.71</v>
      </c>
      <c r="L115" s="3">
        <v>1451.34</v>
      </c>
      <c r="M115" s="3">
        <v>1179.58</v>
      </c>
      <c r="N115" s="3">
        <v>4724.5600000000004</v>
      </c>
      <c r="O115" s="4">
        <f t="shared" ref="O115:O121" si="22">SUM(C115:N115)</f>
        <v>24838.31</v>
      </c>
      <c r="P115" s="14">
        <f>IFERROR(O115/O6,0)</f>
        <v>1.2401520286183453E-2</v>
      </c>
    </row>
    <row r="116" spans="1:16" ht="15" customHeight="1" x14ac:dyDescent="0.35">
      <c r="A116" s="13" t="s">
        <v>199</v>
      </c>
      <c r="B116" s="2" t="s">
        <v>200</v>
      </c>
      <c r="C116" s="3">
        <v>0</v>
      </c>
      <c r="D116" s="3">
        <v>0</v>
      </c>
      <c r="E116" s="3">
        <v>0.32</v>
      </c>
      <c r="F116" s="3">
        <v>0.7</v>
      </c>
      <c r="G116" s="3">
        <v>1.3</v>
      </c>
      <c r="H116" s="3">
        <v>0.04</v>
      </c>
      <c r="I116" s="3">
        <v>0.02</v>
      </c>
      <c r="J116" s="3">
        <v>8.09</v>
      </c>
      <c r="K116" s="3">
        <v>1.05</v>
      </c>
      <c r="L116" s="3">
        <v>0</v>
      </c>
      <c r="M116" s="3">
        <v>0.93</v>
      </c>
      <c r="N116" s="3">
        <v>0.44</v>
      </c>
      <c r="O116" s="4">
        <f t="shared" si="22"/>
        <v>12.89</v>
      </c>
      <c r="P116" s="14">
        <f>IFERROR(O116/O6,0)</f>
        <v>6.4358483523599114E-6</v>
      </c>
    </row>
    <row r="117" spans="1:16" ht="15.75" customHeight="1" x14ac:dyDescent="0.35">
      <c r="A117" s="15" t="s">
        <v>201</v>
      </c>
      <c r="B117" s="16"/>
      <c r="C117" s="17">
        <f t="shared" ref="C117:N117" si="23">C115+C116</f>
        <v>7150.54</v>
      </c>
      <c r="D117" s="17">
        <f t="shared" si="23"/>
        <v>2295.87</v>
      </c>
      <c r="E117" s="17">
        <f t="shared" si="23"/>
        <v>7.42</v>
      </c>
      <c r="F117" s="17">
        <f t="shared" si="23"/>
        <v>1022.1400000000001</v>
      </c>
      <c r="G117" s="17">
        <f t="shared" si="23"/>
        <v>1081.8499999999999</v>
      </c>
      <c r="H117" s="17">
        <f t="shared" si="23"/>
        <v>1416.84</v>
      </c>
      <c r="I117" s="17">
        <f t="shared" si="23"/>
        <v>1974.01</v>
      </c>
      <c r="J117" s="17">
        <f t="shared" si="23"/>
        <v>1225.9199999999998</v>
      </c>
      <c r="K117" s="17">
        <f t="shared" si="23"/>
        <v>1319.76</v>
      </c>
      <c r="L117" s="17">
        <f t="shared" si="23"/>
        <v>1451.34</v>
      </c>
      <c r="M117" s="17">
        <f t="shared" si="23"/>
        <v>1180.51</v>
      </c>
      <c r="N117" s="17">
        <f t="shared" si="23"/>
        <v>4725</v>
      </c>
      <c r="O117" s="18">
        <f t="shared" si="22"/>
        <v>24851.199999999997</v>
      </c>
      <c r="P117" s="19">
        <f>IFERROR(O117/O6,0)</f>
        <v>1.2407956134535811E-2</v>
      </c>
    </row>
    <row r="118" spans="1:16" ht="15" customHeight="1" x14ac:dyDescent="0.35">
      <c r="A118" s="13" t="s">
        <v>202</v>
      </c>
      <c r="B118" s="2" t="s">
        <v>203</v>
      </c>
      <c r="C118" s="3">
        <v>0.69</v>
      </c>
      <c r="D118" s="3">
        <v>0.94</v>
      </c>
      <c r="E118" s="3">
        <v>0</v>
      </c>
      <c r="F118" s="3">
        <v>5.08</v>
      </c>
      <c r="G118" s="3">
        <v>2.4</v>
      </c>
      <c r="H118" s="3">
        <v>174.7</v>
      </c>
      <c r="I118" s="3">
        <v>157.27000000000001</v>
      </c>
      <c r="J118" s="3">
        <v>82.85</v>
      </c>
      <c r="K118" s="3">
        <v>120.88</v>
      </c>
      <c r="L118" s="3">
        <v>196.28</v>
      </c>
      <c r="M118" s="3">
        <v>24.43</v>
      </c>
      <c r="N118" s="3">
        <v>598.71</v>
      </c>
      <c r="O118" s="4">
        <f t="shared" si="22"/>
        <v>1364.23</v>
      </c>
      <c r="P118" s="14">
        <f>IFERROR(O118/O6,0)</f>
        <v>6.8114642340884107E-4</v>
      </c>
    </row>
    <row r="119" spans="1:16" ht="15" customHeight="1" x14ac:dyDescent="0.35">
      <c r="A119" s="13" t="s">
        <v>204</v>
      </c>
      <c r="B119" s="2" t="s">
        <v>205</v>
      </c>
      <c r="C119" s="3">
        <v>10.66</v>
      </c>
      <c r="D119" s="3">
        <v>0.01</v>
      </c>
      <c r="E119" s="3">
        <v>0.15</v>
      </c>
      <c r="F119" s="3">
        <v>9.07</v>
      </c>
      <c r="G119" s="3">
        <v>1.18</v>
      </c>
      <c r="H119" s="3">
        <v>0.77</v>
      </c>
      <c r="I119" s="3">
        <v>0</v>
      </c>
      <c r="J119" s="3">
        <v>10.01</v>
      </c>
      <c r="K119" s="3">
        <v>0.01</v>
      </c>
      <c r="L119" s="3">
        <v>0</v>
      </c>
      <c r="M119" s="3">
        <v>0.03</v>
      </c>
      <c r="N119" s="3">
        <v>0.06</v>
      </c>
      <c r="O119" s="4">
        <f t="shared" si="22"/>
        <v>31.950000000000003</v>
      </c>
      <c r="P119" s="14">
        <f>IFERROR(O119/O6,0)</f>
        <v>1.5952316125515839E-5</v>
      </c>
    </row>
    <row r="120" spans="1:16" ht="15.75" customHeight="1" x14ac:dyDescent="0.35">
      <c r="A120" s="62" t="s">
        <v>206</v>
      </c>
      <c r="B120" s="63"/>
      <c r="C120" s="64">
        <f t="shared" ref="C120:N120" si="24">C118+C119</f>
        <v>11.35</v>
      </c>
      <c r="D120" s="64">
        <f t="shared" si="24"/>
        <v>0.95</v>
      </c>
      <c r="E120" s="64">
        <f t="shared" si="24"/>
        <v>0.15</v>
      </c>
      <c r="F120" s="64">
        <f t="shared" si="24"/>
        <v>14.15</v>
      </c>
      <c r="G120" s="64">
        <f t="shared" si="24"/>
        <v>3.58</v>
      </c>
      <c r="H120" s="64">
        <f t="shared" si="24"/>
        <v>175.47</v>
      </c>
      <c r="I120" s="64">
        <f t="shared" si="24"/>
        <v>157.27000000000001</v>
      </c>
      <c r="J120" s="64">
        <f t="shared" si="24"/>
        <v>92.86</v>
      </c>
      <c r="K120" s="64">
        <f t="shared" si="24"/>
        <v>120.89</v>
      </c>
      <c r="L120" s="64">
        <f t="shared" si="24"/>
        <v>196.28</v>
      </c>
      <c r="M120" s="64">
        <f t="shared" si="24"/>
        <v>24.46</v>
      </c>
      <c r="N120" s="64">
        <f t="shared" si="24"/>
        <v>598.77</v>
      </c>
      <c r="O120" s="65">
        <f t="shared" si="22"/>
        <v>1396.18</v>
      </c>
      <c r="P120" s="66">
        <f>IFERROR(O120/O6,0)</f>
        <v>6.9709873953435698E-4</v>
      </c>
    </row>
    <row r="121" spans="1:16" ht="15.75" customHeight="1" x14ac:dyDescent="0.35">
      <c r="A121" s="67" t="s">
        <v>207</v>
      </c>
      <c r="B121" s="68"/>
      <c r="C121" s="69">
        <f t="shared" ref="C121:N121" si="25">C120-C117</f>
        <v>-7139.19</v>
      </c>
      <c r="D121" s="69">
        <f t="shared" si="25"/>
        <v>-2294.92</v>
      </c>
      <c r="E121" s="69">
        <f t="shared" si="25"/>
        <v>-7.27</v>
      </c>
      <c r="F121" s="69">
        <f t="shared" si="25"/>
        <v>-1007.9900000000001</v>
      </c>
      <c r="G121" s="69">
        <f t="shared" si="25"/>
        <v>-1078.27</v>
      </c>
      <c r="H121" s="69">
        <f t="shared" si="25"/>
        <v>-1241.3699999999999</v>
      </c>
      <c r="I121" s="69">
        <f t="shared" si="25"/>
        <v>-1816.74</v>
      </c>
      <c r="J121" s="69">
        <f t="shared" si="25"/>
        <v>-1133.06</v>
      </c>
      <c r="K121" s="69">
        <f t="shared" si="25"/>
        <v>-1198.8699999999999</v>
      </c>
      <c r="L121" s="69">
        <f t="shared" si="25"/>
        <v>-1255.06</v>
      </c>
      <c r="M121" s="69">
        <f t="shared" si="25"/>
        <v>-1156.05</v>
      </c>
      <c r="N121" s="69">
        <f t="shared" si="25"/>
        <v>-4126.2299999999996</v>
      </c>
      <c r="O121" s="70">
        <f t="shared" si="22"/>
        <v>-23455.02</v>
      </c>
      <c r="P121" s="71"/>
    </row>
    <row r="122" spans="1:16" ht="7.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25.5" customHeight="1" x14ac:dyDescent="0.35">
      <c r="A123" s="72" t="s">
        <v>208</v>
      </c>
      <c r="B123" s="73"/>
      <c r="C123" s="74">
        <f t="shared" ref="C123:N123" si="26">C112+C121</f>
        <v>15058.680000000022</v>
      </c>
      <c r="D123" s="74">
        <f t="shared" si="26"/>
        <v>27637.130000000012</v>
      </c>
      <c r="E123" s="74">
        <f t="shared" si="26"/>
        <v>41778.87999999999</v>
      </c>
      <c r="F123" s="74">
        <f t="shared" si="26"/>
        <v>12383.869999999986</v>
      </c>
      <c r="G123" s="74">
        <f t="shared" si="26"/>
        <v>5587.030000000017</v>
      </c>
      <c r="H123" s="74">
        <f t="shared" si="26"/>
        <v>-7763.6900000000069</v>
      </c>
      <c r="I123" s="74">
        <f t="shared" si="26"/>
        <v>17363.249999999982</v>
      </c>
      <c r="J123" s="74">
        <f t="shared" si="26"/>
        <v>28877.290000000012</v>
      </c>
      <c r="K123" s="74">
        <f t="shared" si="26"/>
        <v>-13622.779999999984</v>
      </c>
      <c r="L123" s="74">
        <f t="shared" si="26"/>
        <v>-15063.909999999996</v>
      </c>
      <c r="M123" s="74">
        <f t="shared" si="26"/>
        <v>-9433.7899999999881</v>
      </c>
      <c r="N123" s="74">
        <f t="shared" si="26"/>
        <v>31888.880000000016</v>
      </c>
      <c r="O123" s="75">
        <f>SUM(C123:N123)</f>
        <v>134690.84000000008</v>
      </c>
      <c r="P123" s="76">
        <f>IFERROR(O123/O6,0)</f>
        <v>6.7249792140571987E-2</v>
      </c>
    </row>
    <row r="124" spans="1:16" ht="13.5" customHeight="1" x14ac:dyDescent="0.35">
      <c r="A124" s="25" t="s">
        <v>209</v>
      </c>
      <c r="B124" s="7"/>
      <c r="C124" s="26">
        <f t="shared" ref="C124:O124" si="27">IFERROR(C123/C6,0)</f>
        <v>7.8279757076517853E-2</v>
      </c>
      <c r="D124" s="26">
        <f t="shared" si="27"/>
        <v>0.12896625241055215</v>
      </c>
      <c r="E124" s="26">
        <f t="shared" si="27"/>
        <v>0.26268716176077794</v>
      </c>
      <c r="F124" s="26">
        <f t="shared" si="27"/>
        <v>7.6257747240969467E-2</v>
      </c>
      <c r="G124" s="26">
        <f t="shared" si="27"/>
        <v>3.8096221934700934E-2</v>
      </c>
      <c r="H124" s="26">
        <f t="shared" si="27"/>
        <v>-5.2202559937171586E-2</v>
      </c>
      <c r="I124" s="26">
        <f t="shared" si="27"/>
        <v>9.362324001303568E-2</v>
      </c>
      <c r="J124" s="26">
        <f t="shared" si="27"/>
        <v>0.16247835833294844</v>
      </c>
      <c r="K124" s="26">
        <f t="shared" si="27"/>
        <v>-9.7705353820589785E-2</v>
      </c>
      <c r="L124" s="26">
        <f t="shared" si="27"/>
        <v>-0.10458433276511891</v>
      </c>
      <c r="M124" s="26">
        <f t="shared" si="27"/>
        <v>-6.7334521408914425E-2</v>
      </c>
      <c r="N124" s="26">
        <f t="shared" si="27"/>
        <v>0.16556713902811537</v>
      </c>
      <c r="O124" s="27">
        <f t="shared" si="27"/>
        <v>6.7249792140571987E-2</v>
      </c>
      <c r="P124" s="7"/>
    </row>
  </sheetData>
  <mergeCells count="11">
    <mergeCell ref="A1:P1"/>
    <mergeCell ref="A2:P2"/>
    <mergeCell ref="A3:P3"/>
    <mergeCell ref="A5:P5"/>
    <mergeCell ref="A10:P10"/>
    <mergeCell ref="A114:P114"/>
    <mergeCell ref="A28:P28"/>
    <mergeCell ref="A50:P50"/>
    <mergeCell ref="A60:P60"/>
    <mergeCell ref="A83:P83"/>
    <mergeCell ref="A105:P105"/>
  </mergeCells>
  <conditionalFormatting sqref="C124:O124">
    <cfRule type="cellIs" dxfId="7" priority="2" operator="lessThan">
      <formula>0</formula>
    </cfRule>
    <cfRule type="cellIs" dxfId="6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7F17"/>
  </sheetPr>
  <dimension ref="A1:T27"/>
  <sheetViews>
    <sheetView showGridLines="0" zoomScaleNormal="100" workbookViewId="0">
      <selection activeCell="N12" sqref="A12:N16"/>
    </sheetView>
  </sheetViews>
  <sheetFormatPr baseColWidth="10" defaultColWidth="8.6328125" defaultRowHeight="14.5" x14ac:dyDescent="0.35"/>
  <cols>
    <col min="1" max="1" width="5.81640625" bestFit="1" customWidth="1"/>
    <col min="2" max="2" width="9.54296875" bestFit="1" customWidth="1"/>
    <col min="3" max="3" width="8.36328125" customWidth="1"/>
    <col min="4" max="4" width="12.7265625" customWidth="1"/>
    <col min="5" max="5" width="8.54296875" bestFit="1" customWidth="1"/>
    <col min="6" max="6" width="9.81640625" customWidth="1"/>
    <col min="7" max="14" width="8.54296875" bestFit="1" customWidth="1"/>
    <col min="15" max="20" width="10" customWidth="1"/>
  </cols>
  <sheetData>
    <row r="1" spans="1:20" ht="31.5" customHeight="1" x14ac:dyDescent="0.35">
      <c r="A1" s="421" t="s">
        <v>673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</row>
    <row r="2" spans="1:20" ht="13.5" customHeight="1" x14ac:dyDescent="0.35">
      <c r="A2" s="422" t="s">
        <v>674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</row>
    <row r="3" spans="1:20" ht="7.5" customHeight="1" x14ac:dyDescent="0.35">
      <c r="A3" s="311"/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</row>
    <row r="4" spans="1:20" ht="18" customHeight="1" x14ac:dyDescent="0.35">
      <c r="A4" s="423" t="s">
        <v>675</v>
      </c>
      <c r="B4" s="423"/>
      <c r="C4" s="423"/>
      <c r="D4" s="423"/>
      <c r="E4" s="424" t="s">
        <v>676</v>
      </c>
      <c r="F4" s="424"/>
      <c r="G4" s="424"/>
      <c r="H4" s="424"/>
      <c r="I4" s="425" t="s">
        <v>677</v>
      </c>
      <c r="J4" s="425"/>
      <c r="K4" s="425"/>
      <c r="L4" s="425"/>
      <c r="M4" s="426" t="s">
        <v>771</v>
      </c>
      <c r="N4" s="426"/>
      <c r="O4" s="426"/>
      <c r="P4" s="426"/>
      <c r="Q4" s="427" t="s">
        <v>678</v>
      </c>
      <c r="R4" s="427"/>
      <c r="S4" s="427"/>
      <c r="T4" s="427"/>
    </row>
    <row r="5" spans="1:20" ht="31.5" customHeight="1" x14ac:dyDescent="0.35">
      <c r="A5" s="416" t="s">
        <v>679</v>
      </c>
      <c r="B5" s="416"/>
      <c r="C5" s="416"/>
      <c r="D5" s="416"/>
      <c r="E5" s="417" t="s">
        <v>680</v>
      </c>
      <c r="F5" s="417"/>
      <c r="G5" s="417"/>
      <c r="H5" s="417"/>
      <c r="I5" s="418" t="s">
        <v>681</v>
      </c>
      <c r="J5" s="418"/>
      <c r="K5" s="418"/>
      <c r="L5" s="418"/>
      <c r="M5" s="419" t="s">
        <v>682</v>
      </c>
      <c r="N5" s="419"/>
      <c r="O5" s="419"/>
      <c r="P5" s="419"/>
      <c r="Q5" s="420" t="s">
        <v>683</v>
      </c>
      <c r="R5" s="420"/>
      <c r="S5" s="420"/>
      <c r="T5" s="420"/>
    </row>
    <row r="6" spans="1:20" ht="13.5" hidden="1" customHeight="1" x14ac:dyDescent="0.35">
      <c r="A6" s="411"/>
      <c r="B6" s="411"/>
      <c r="C6" s="411"/>
      <c r="D6" s="411"/>
      <c r="E6" s="412"/>
      <c r="F6" s="412"/>
      <c r="G6" s="412"/>
      <c r="H6" s="412"/>
      <c r="I6" s="413"/>
      <c r="J6" s="413"/>
      <c r="K6" s="413"/>
      <c r="L6" s="413"/>
      <c r="M6" s="414"/>
      <c r="N6" s="414"/>
      <c r="O6" s="414"/>
      <c r="P6" s="414"/>
      <c r="Q6" s="415"/>
      <c r="R6" s="415"/>
      <c r="S6" s="415"/>
      <c r="T6" s="415"/>
    </row>
    <row r="7" spans="1:20" ht="9.75" customHeight="1" x14ac:dyDescent="0.35"/>
    <row r="8" spans="1:20" ht="23" customHeight="1" x14ac:dyDescent="0.35">
      <c r="A8" s="101" t="s">
        <v>684</v>
      </c>
      <c r="B8" s="101" t="s">
        <v>685</v>
      </c>
      <c r="C8" s="101" t="s">
        <v>686</v>
      </c>
      <c r="D8" s="101" t="s">
        <v>687</v>
      </c>
      <c r="E8" s="101" t="s">
        <v>688</v>
      </c>
      <c r="F8" s="163" t="s">
        <v>689</v>
      </c>
    </row>
    <row r="9" spans="1:20" x14ac:dyDescent="0.35">
      <c r="A9" s="266" t="s">
        <v>4</v>
      </c>
      <c r="B9" s="261">
        <f>'P&amp;L Gerencial'!C6</f>
        <v>192370.04</v>
      </c>
      <c r="C9" s="288">
        <f>'P&amp;L Gerencial'!C101</f>
        <v>24915.24000000002</v>
      </c>
      <c r="D9" s="262">
        <f>'P&amp;L Gerencial'!C24</f>
        <v>48524.7</v>
      </c>
      <c r="E9" s="263">
        <f>'P&amp;L Gerencial'!C46</f>
        <v>45063.520000000004</v>
      </c>
      <c r="F9" s="287">
        <f>IFERROR('P&amp;L Gerencial'!C101/'P&amp;L Gerencial'!C6,0)</f>
        <v>0.12951725746899059</v>
      </c>
    </row>
    <row r="10" spans="1:20" x14ac:dyDescent="0.35">
      <c r="A10" s="264" t="s">
        <v>5</v>
      </c>
      <c r="B10" s="261">
        <f>'P&amp;L Gerencial'!D6</f>
        <v>214297.38</v>
      </c>
      <c r="C10" s="288">
        <f>'P&amp;L Gerencial'!D101</f>
        <v>32649.420000000013</v>
      </c>
      <c r="D10" s="262">
        <f>'P&amp;L Gerencial'!D24</f>
        <v>45607.68</v>
      </c>
      <c r="E10" s="263">
        <f>'P&amp;L Gerencial'!D46</f>
        <v>67417.990000000005</v>
      </c>
      <c r="F10" s="287">
        <f>IFERROR('P&amp;L Gerencial'!D101/'P&amp;L Gerencial'!D6,0)</f>
        <v>0.15235566575755621</v>
      </c>
    </row>
    <row r="11" spans="1:20" x14ac:dyDescent="0.35">
      <c r="A11" s="264" t="s">
        <v>6</v>
      </c>
      <c r="B11" s="261">
        <f>'P&amp;L Gerencial'!E6</f>
        <v>159044.24</v>
      </c>
      <c r="C11" s="288">
        <f>'P&amp;L Gerencial'!E101</f>
        <v>41786.149999999987</v>
      </c>
      <c r="D11" s="262">
        <f>'P&amp;L Gerencial'!E24</f>
        <v>29201.41</v>
      </c>
      <c r="E11" s="263">
        <f>'P&amp;L Gerencial'!E46</f>
        <v>30388.960000000003</v>
      </c>
      <c r="F11" s="287">
        <f>IFERROR('P&amp;L Gerencial'!E101/'P&amp;L Gerencial'!E6,0)</f>
        <v>0.26273287231276021</v>
      </c>
    </row>
    <row r="12" spans="1:20" x14ac:dyDescent="0.35">
      <c r="A12" s="265" t="s">
        <v>7</v>
      </c>
      <c r="B12" s="261">
        <f>'P&amp;L Gerencial'!F6</f>
        <v>162394.91</v>
      </c>
      <c r="C12" s="288">
        <f>'P&amp;L Gerencial'!F101</f>
        <v>13391.859999999986</v>
      </c>
      <c r="D12" s="262">
        <f>'P&amp;L Gerencial'!F24</f>
        <v>47220.97</v>
      </c>
      <c r="E12" s="263">
        <f>'P&amp;L Gerencial'!F46</f>
        <v>38700.76</v>
      </c>
      <c r="F12" s="287">
        <f>IFERROR('P&amp;L Gerencial'!F101/'P&amp;L Gerencial'!F6,0)</f>
        <v>8.2464776759320749E-2</v>
      </c>
    </row>
    <row r="13" spans="1:20" x14ac:dyDescent="0.35">
      <c r="A13" s="266" t="s">
        <v>8</v>
      </c>
      <c r="B13" s="261">
        <f>'P&amp;L Gerencial'!G6</f>
        <v>146655.75</v>
      </c>
      <c r="C13" s="288">
        <f>'P&amp;L Gerencial'!G101</f>
        <v>6665.3000000000175</v>
      </c>
      <c r="D13" s="262">
        <f>'P&amp;L Gerencial'!G24</f>
        <v>42374.71</v>
      </c>
      <c r="E13" s="263">
        <f>'P&amp;L Gerencial'!G46</f>
        <v>32704.250000000004</v>
      </c>
      <c r="F13" s="287">
        <f>IFERROR('P&amp;L Gerencial'!G101/'P&amp;L Gerencial'!G6,0)</f>
        <v>4.5448610095410631E-2</v>
      </c>
    </row>
    <row r="14" spans="1:20" x14ac:dyDescent="0.35">
      <c r="A14" s="266" t="s">
        <v>9</v>
      </c>
      <c r="B14" s="261">
        <f>'P&amp;L Gerencial'!H6</f>
        <v>148722.4</v>
      </c>
      <c r="C14" s="288">
        <f>'P&amp;L Gerencial'!H101</f>
        <v>-6522.320000000007</v>
      </c>
      <c r="D14" s="262">
        <f>'P&amp;L Gerencial'!H24</f>
        <v>40723.419999999991</v>
      </c>
      <c r="E14" s="263">
        <f>'P&amp;L Gerencial'!H46</f>
        <v>34931.700000000004</v>
      </c>
      <c r="F14" s="287">
        <f>IFERROR('P&amp;L Gerencial'!H101/'P&amp;L Gerencial'!H6,0)</f>
        <v>-4.3855666664873665E-2</v>
      </c>
    </row>
    <row r="15" spans="1:20" x14ac:dyDescent="0.35">
      <c r="A15" s="266" t="s">
        <v>10</v>
      </c>
      <c r="B15" s="261">
        <f>'P&amp;L Gerencial'!I6</f>
        <v>185458.76</v>
      </c>
      <c r="C15" s="288">
        <f>'P&amp;L Gerencial'!I101</f>
        <v>19179.989999999983</v>
      </c>
      <c r="D15" s="262">
        <f>'P&amp;L Gerencial'!I24</f>
        <v>42208.210000000006</v>
      </c>
      <c r="E15" s="263">
        <f>'P&amp;L Gerencial'!I46</f>
        <v>54245.31</v>
      </c>
      <c r="F15" s="287">
        <f>IFERROR('P&amp;L Gerencial'!I101/'P&amp;L Gerencial'!I6,0)</f>
        <v>0.10341916445467436</v>
      </c>
    </row>
    <row r="16" spans="1:20" x14ac:dyDescent="0.35">
      <c r="A16" s="266" t="s">
        <v>11</v>
      </c>
      <c r="B16" s="261">
        <f>'P&amp;L Gerencial'!J6</f>
        <v>177730.07</v>
      </c>
      <c r="C16" s="288">
        <f>'P&amp;L Gerencial'!J101</f>
        <v>30010.350000000013</v>
      </c>
      <c r="D16" s="262">
        <f>'P&amp;L Gerencial'!J24</f>
        <v>40623.040000000001</v>
      </c>
      <c r="E16" s="263">
        <f>'P&amp;L Gerencial'!J46</f>
        <v>43901.789999999994</v>
      </c>
      <c r="F16" s="287">
        <f>IFERROR('P&amp;L Gerencial'!J101/'P&amp;L Gerencial'!J6,0)</f>
        <v>0.16885353165055306</v>
      </c>
    </row>
    <row r="17" spans="1:14" x14ac:dyDescent="0.35">
      <c r="A17" s="266" t="s">
        <v>12</v>
      </c>
      <c r="B17" s="261">
        <f>'P&amp;L Gerencial'!K6</f>
        <v>139427.16</v>
      </c>
      <c r="C17" s="288">
        <f>'P&amp;L Gerencial'!K101</f>
        <v>-12397.239999999983</v>
      </c>
      <c r="D17" s="262">
        <f>'P&amp;L Gerencial'!K24</f>
        <v>57081.299999999996</v>
      </c>
      <c r="E17" s="263">
        <f>'P&amp;L Gerencial'!K46</f>
        <v>37324.81</v>
      </c>
      <c r="F17" s="287">
        <f>IFERROR('P&amp;L Gerencial'!K101/'P&amp;L Gerencial'!K6,0)</f>
        <v>-8.8915531235090661E-2</v>
      </c>
    </row>
    <row r="18" spans="1:14" x14ac:dyDescent="0.35">
      <c r="A18" s="266" t="s">
        <v>13</v>
      </c>
      <c r="B18" s="261">
        <f>'P&amp;L Gerencial'!L6</f>
        <v>144036.01</v>
      </c>
      <c r="C18" s="288">
        <f>'P&amp;L Gerencial'!L101</f>
        <v>-13120.409999999996</v>
      </c>
      <c r="D18" s="262">
        <f>'P&amp;L Gerencial'!L24</f>
        <v>38890.379999999997</v>
      </c>
      <c r="E18" s="263">
        <f>'P&amp;L Gerencial'!L46</f>
        <v>43884.159999999996</v>
      </c>
      <c r="F18" s="287">
        <f>IFERROR('P&amp;L Gerencial'!L101/'P&amp;L Gerencial'!L6,0)</f>
        <v>-9.1091179212753781E-2</v>
      </c>
    </row>
    <row r="19" spans="1:14" x14ac:dyDescent="0.35">
      <c r="A19" s="266" t="s">
        <v>14</v>
      </c>
      <c r="B19" s="261">
        <f>'P&amp;L Gerencial'!M6</f>
        <v>140103.32</v>
      </c>
      <c r="C19" s="288">
        <f>'P&amp;L Gerencial'!M101</f>
        <v>-7589.2999999999884</v>
      </c>
      <c r="D19" s="262">
        <f>'P&amp;L Gerencial'!M24</f>
        <v>42035.439999999988</v>
      </c>
      <c r="E19" s="263">
        <f>'P&amp;L Gerencial'!M46</f>
        <v>40767.450000000004</v>
      </c>
      <c r="F19" s="287">
        <f>IFERROR('P&amp;L Gerencial'!M101/'P&amp;L Gerencial'!M6,0)</f>
        <v>-5.4169308764417487E-2</v>
      </c>
    </row>
    <row r="20" spans="1:14" x14ac:dyDescent="0.35">
      <c r="A20" s="266" t="s">
        <v>15</v>
      </c>
      <c r="B20" s="261">
        <f>'P&amp;L Gerencial'!N6</f>
        <v>192603.92</v>
      </c>
      <c r="C20" s="288">
        <f>'P&amp;L Gerencial'!N101</f>
        <v>36703.550000000017</v>
      </c>
      <c r="D20" s="262">
        <f>'P&amp;L Gerencial'!N24</f>
        <v>40961.650000000009</v>
      </c>
      <c r="E20" s="263">
        <f>'P&amp;L Gerencial'!N46</f>
        <v>48008.94</v>
      </c>
      <c r="F20" s="287">
        <f>IFERROR('P&amp;L Gerencial'!N101/'P&amp;L Gerencial'!N6,0)</f>
        <v>0.19056491685112129</v>
      </c>
    </row>
    <row r="22" spans="1:14" ht="12.75" customHeight="1" x14ac:dyDescent="0.35">
      <c r="C22" s="267" t="s">
        <v>4</v>
      </c>
      <c r="D22" s="267" t="s">
        <v>5</v>
      </c>
      <c r="E22" s="267" t="s">
        <v>6</v>
      </c>
      <c r="F22" s="267" t="s">
        <v>7</v>
      </c>
      <c r="G22" s="267" t="s">
        <v>8</v>
      </c>
      <c r="H22" s="267" t="s">
        <v>9</v>
      </c>
      <c r="I22" s="267" t="s">
        <v>10</v>
      </c>
      <c r="J22" s="267" t="s">
        <v>11</v>
      </c>
      <c r="K22" s="267" t="s">
        <v>12</v>
      </c>
      <c r="L22" s="267" t="s">
        <v>13</v>
      </c>
      <c r="M22" s="267" t="s">
        <v>14</v>
      </c>
      <c r="N22" s="267" t="s">
        <v>15</v>
      </c>
    </row>
    <row r="23" spans="1:14" ht="23.5" customHeight="1" x14ac:dyDescent="0.35">
      <c r="A23" s="409" t="s">
        <v>794</v>
      </c>
      <c r="B23" s="409"/>
      <c r="C23" s="289">
        <f>'Indicadores Operativos'!B27</f>
        <v>0.21145237650162554</v>
      </c>
      <c r="D23" s="289">
        <f>'Indicadores Operativos'!C27</f>
        <v>0.25993306312945219</v>
      </c>
      <c r="E23" s="289">
        <f>'Indicadores Operativos'!D27</f>
        <v>0.17393982315180831</v>
      </c>
      <c r="F23" s="289">
        <f>'Indicadores Operativos'!E27</f>
        <v>0.18563494177536696</v>
      </c>
      <c r="G23" s="289">
        <f>'Indicadores Operativos'!F27</f>
        <v>0.15861795892368893</v>
      </c>
      <c r="H23" s="289">
        <f>'Indicadores Operativos'!G27</f>
        <v>0.16914205699638002</v>
      </c>
      <c r="I23" s="289">
        <f>'Indicadores Operativos'!H27</f>
        <v>0.20490392057948853</v>
      </c>
      <c r="J23" s="289">
        <f>'Indicadores Operativos'!I27</f>
        <v>0.19130245956687109</v>
      </c>
      <c r="K23" s="289">
        <f>'Indicadores Operativos'!J27</f>
        <v>0.15939360159086341</v>
      </c>
      <c r="L23" s="289">
        <f>'Indicadores Operativos'!K27</f>
        <v>0.15833831386720773</v>
      </c>
      <c r="M23" s="289">
        <f>'Indicadores Operativos'!L27</f>
        <v>0.1566712611259328</v>
      </c>
      <c r="N23" s="289">
        <f>'Indicadores Operativos'!M27</f>
        <v>0.21517470315143053</v>
      </c>
    </row>
    <row r="24" spans="1:14" ht="24" customHeight="1" x14ac:dyDescent="0.35">
      <c r="A24" s="409" t="s">
        <v>793</v>
      </c>
      <c r="B24" s="409"/>
      <c r="C24" s="291">
        <f>'Indicadores Operativos'!B39</f>
        <v>642.30397328881475</v>
      </c>
      <c r="D24" s="291">
        <f>'Indicadores Operativos'!C39</f>
        <v>789.59977892409734</v>
      </c>
      <c r="E24" s="291">
        <f>'Indicadores Operativos'!D39</f>
        <v>528.38617940199333</v>
      </c>
      <c r="F24" s="291">
        <f>'Indicadores Operativos'!E39</f>
        <v>563.87121527777776</v>
      </c>
      <c r="G24" s="291">
        <f>'Indicadores Operativos'!F39</f>
        <v>481.78630091984235</v>
      </c>
      <c r="H24" s="291">
        <f>'Indicadores Operativos'!G39</f>
        <v>513.72158894645941</v>
      </c>
      <c r="I24" s="291">
        <f>'Indicadores Operativos'!H39</f>
        <v>622.34483221476512</v>
      </c>
      <c r="J24" s="291">
        <f>'Indicadores Operativos'!I39</f>
        <v>581.00709382151035</v>
      </c>
      <c r="K24" s="291">
        <f>'Indicadores Operativos'!J39</f>
        <v>484.12208333333336</v>
      </c>
      <c r="L24" s="291">
        <f>'Indicadores Operativos'!K39</f>
        <v>480.92156928213694</v>
      </c>
      <c r="M24" s="291">
        <f>'Indicadores Operativos'!L39</f>
        <v>475.89442934782613</v>
      </c>
      <c r="N24" s="291">
        <f>'Indicadores Operativos'!M39</f>
        <v>653.55928062436385</v>
      </c>
    </row>
    <row r="25" spans="1:14" ht="22.5" customHeight="1" x14ac:dyDescent="0.35">
      <c r="A25" s="410" t="s">
        <v>792</v>
      </c>
      <c r="B25" s="410"/>
      <c r="C25" s="291">
        <f>'Indicadores Operativos'!B38</f>
        <v>559.11452420701164</v>
      </c>
      <c r="D25" s="291">
        <f>'Indicadores Operativos'!C38</f>
        <v>669.29977892409738</v>
      </c>
      <c r="E25" s="291">
        <f>'Indicadores Operativos'!D38</f>
        <v>389.56176079734217</v>
      </c>
      <c r="F25" s="291">
        <f>'Indicadores Operativos'!E38</f>
        <v>517.37170138888894</v>
      </c>
      <c r="G25" s="291">
        <f>'Indicadores Operativos'!F38</f>
        <v>459.88978318002637</v>
      </c>
      <c r="H25" s="291">
        <f>'Indicadores Operativos'!G38</f>
        <v>536.25119170984453</v>
      </c>
      <c r="I25" s="291">
        <f>'Indicadores Operativos'!H38</f>
        <v>557.98244966442962</v>
      </c>
      <c r="J25" s="291">
        <f>'Indicadores Operativos'!I38</f>
        <v>482.90199411572405</v>
      </c>
      <c r="K25" s="291">
        <f>'Indicadores Operativos'!J38</f>
        <v>527.16805555555538</v>
      </c>
      <c r="L25" s="291">
        <f>'Indicadores Operativos'!K38</f>
        <v>524.72928213689477</v>
      </c>
      <c r="M25" s="291">
        <f>'Indicadores Operativos'!L38</f>
        <v>501.67330163043482</v>
      </c>
      <c r="N25" s="291">
        <f>'Indicadores Operativos'!M38</f>
        <v>529.0138106549033</v>
      </c>
    </row>
    <row r="26" spans="1:14" ht="23.5" customHeight="1" x14ac:dyDescent="0.35">
      <c r="A26" s="408" t="s">
        <v>795</v>
      </c>
      <c r="B26" s="408"/>
      <c r="C26" s="291">
        <f>+C24-C25</f>
        <v>83.189449081803104</v>
      </c>
      <c r="D26" s="291">
        <f t="shared" ref="D26:N26" si="0">+D24-D25</f>
        <v>120.29999999999995</v>
      </c>
      <c r="E26" s="291">
        <f t="shared" si="0"/>
        <v>138.82441860465116</v>
      </c>
      <c r="F26" s="291">
        <f t="shared" si="0"/>
        <v>46.499513888888828</v>
      </c>
      <c r="G26" s="291">
        <f t="shared" si="0"/>
        <v>21.896517739815977</v>
      </c>
      <c r="H26" s="291">
        <f t="shared" si="0"/>
        <v>-22.529602763385128</v>
      </c>
      <c r="I26" s="291">
        <f t="shared" si="0"/>
        <v>64.362382550335496</v>
      </c>
      <c r="J26" s="291">
        <f t="shared" si="0"/>
        <v>98.105099705786301</v>
      </c>
      <c r="K26" s="291">
        <f t="shared" si="0"/>
        <v>-43.045972222222019</v>
      </c>
      <c r="L26" s="291">
        <f t="shared" si="0"/>
        <v>-43.807712854757824</v>
      </c>
      <c r="M26" s="291">
        <f t="shared" si="0"/>
        <v>-25.778872282608688</v>
      </c>
      <c r="N26" s="291">
        <f t="shared" si="0"/>
        <v>124.54546996946056</v>
      </c>
    </row>
    <row r="27" spans="1:14" ht="21.5" customHeight="1" x14ac:dyDescent="0.35">
      <c r="A27" s="408" t="s">
        <v>796</v>
      </c>
      <c r="B27" s="408"/>
      <c r="C27" s="290">
        <f>+C25/C24*100</f>
        <v>87.048274253100928</v>
      </c>
      <c r="D27" s="290">
        <f t="shared" ref="D27:N27" si="1">+D25/D24*100</f>
        <v>84.764433424244388</v>
      </c>
      <c r="E27" s="290">
        <f t="shared" si="1"/>
        <v>73.726712768723971</v>
      </c>
      <c r="F27" s="290">
        <f t="shared" si="1"/>
        <v>91.75352232406793</v>
      </c>
      <c r="G27" s="290">
        <f t="shared" si="1"/>
        <v>95.455138990458963</v>
      </c>
      <c r="H27" s="290">
        <f t="shared" si="1"/>
        <v>104.38556666648735</v>
      </c>
      <c r="I27" s="290">
        <f t="shared" si="1"/>
        <v>89.658083554532567</v>
      </c>
      <c r="J27" s="290">
        <f t="shared" si="1"/>
        <v>83.114646834944679</v>
      </c>
      <c r="K27" s="290">
        <f t="shared" si="1"/>
        <v>108.89155312350904</v>
      </c>
      <c r="L27" s="290">
        <f t="shared" si="1"/>
        <v>109.10911792127536</v>
      </c>
      <c r="M27" s="290">
        <f t="shared" si="1"/>
        <v>105.41693087644175</v>
      </c>
      <c r="N27" s="290">
        <f t="shared" si="1"/>
        <v>80.943508314887865</v>
      </c>
    </row>
  </sheetData>
  <mergeCells count="22">
    <mergeCell ref="A1:T1"/>
    <mergeCell ref="A2:T2"/>
    <mergeCell ref="A4:D4"/>
    <mergeCell ref="E4:H4"/>
    <mergeCell ref="I4:L4"/>
    <mergeCell ref="M4:P4"/>
    <mergeCell ref="Q4:T4"/>
    <mergeCell ref="A5:D5"/>
    <mergeCell ref="E5:H5"/>
    <mergeCell ref="I5:L5"/>
    <mergeCell ref="M5:P5"/>
    <mergeCell ref="Q5:T5"/>
    <mergeCell ref="A6:D6"/>
    <mergeCell ref="E6:H6"/>
    <mergeCell ref="I6:L6"/>
    <mergeCell ref="M6:P6"/>
    <mergeCell ref="Q6:T6"/>
    <mergeCell ref="A26:B26"/>
    <mergeCell ref="A23:B23"/>
    <mergeCell ref="A24:B24"/>
    <mergeCell ref="A25:B25"/>
    <mergeCell ref="A27:B27"/>
  </mergeCells>
  <conditionalFormatting sqref="C26:N26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C27:N27">
    <cfRule type="cellIs" dxfId="3" priority="1" operator="greaterThan">
      <formula>100</formula>
    </cfRule>
    <cfRule type="cellIs" dxfId="2" priority="2" operator="lessThan">
      <formula>100</formula>
    </cfRule>
  </conditionalFormatting>
  <conditionalFormatting sqref="F9:F2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5C"/>
  </sheetPr>
  <dimension ref="A1:S63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48" sqref="A48"/>
      <selection pane="bottomRight" activeCell="I10" sqref="I10"/>
    </sheetView>
  </sheetViews>
  <sheetFormatPr baseColWidth="10" defaultColWidth="8.6328125" defaultRowHeight="14.5" x14ac:dyDescent="0.35"/>
  <cols>
    <col min="1" max="1" width="26" customWidth="1"/>
    <col min="2" max="3" width="10.90625" customWidth="1"/>
    <col min="4" max="4" width="11.1796875" customWidth="1"/>
    <col min="5" max="5" width="7.1796875" customWidth="1"/>
    <col min="6" max="6" width="6.81640625" customWidth="1"/>
    <col min="7" max="8" width="8.7265625" customWidth="1"/>
    <col min="9" max="14" width="10" customWidth="1"/>
  </cols>
  <sheetData>
    <row r="1" spans="1:19" ht="27.75" customHeight="1" x14ac:dyDescent="0.35">
      <c r="A1" s="446" t="s">
        <v>210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</row>
    <row r="2" spans="1:19" ht="13.5" customHeight="1" x14ac:dyDescent="0.35">
      <c r="A2" s="447" t="s">
        <v>790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</row>
    <row r="3" spans="1:19" ht="19.5" customHeight="1" x14ac:dyDescent="0.35">
      <c r="A3" s="440" t="s">
        <v>211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</row>
    <row r="4" spans="1:19" ht="24" customHeight="1" x14ac:dyDescent="0.35">
      <c r="A4" s="77" t="s">
        <v>2</v>
      </c>
      <c r="B4" s="78" t="s">
        <v>212</v>
      </c>
      <c r="C4" s="78" t="s">
        <v>213</v>
      </c>
      <c r="D4" s="79" t="s">
        <v>214</v>
      </c>
      <c r="E4" s="79" t="s">
        <v>215</v>
      </c>
      <c r="F4" s="79" t="s">
        <v>216</v>
      </c>
      <c r="G4" s="79" t="s">
        <v>217</v>
      </c>
      <c r="H4" s="79" t="s">
        <v>218</v>
      </c>
      <c r="I4" s="77" t="s">
        <v>219</v>
      </c>
    </row>
    <row r="5" spans="1:19" ht="19.5" customHeight="1" x14ac:dyDescent="0.35">
      <c r="A5" s="444" t="s">
        <v>18</v>
      </c>
      <c r="B5" s="444"/>
      <c r="C5" s="444"/>
      <c r="D5" s="444"/>
      <c r="E5" s="444"/>
      <c r="F5" s="444"/>
      <c r="G5" s="444"/>
      <c r="H5" s="444"/>
      <c r="I5" s="444"/>
    </row>
    <row r="6" spans="1:19" ht="15.75" customHeight="1" x14ac:dyDescent="0.35">
      <c r="A6" s="80" t="s">
        <v>220</v>
      </c>
      <c r="B6" s="294">
        <f>'P&amp;L Gerencial'!O6</f>
        <v>2002843.96</v>
      </c>
      <c r="C6" s="294">
        <f>'P&amp;L Gerencial'!O6</f>
        <v>2002843.96</v>
      </c>
      <c r="D6" s="294">
        <f>'Datos 2026'!O4</f>
        <v>2114576.3000000003</v>
      </c>
      <c r="E6" s="81">
        <f>D6-B6</f>
        <v>111732.34000000032</v>
      </c>
      <c r="F6" s="82">
        <f>IFERROR((D6-B6)/ABS(B6),0)</f>
        <v>5.5786842226091503E-2</v>
      </c>
      <c r="G6" s="83">
        <f>IFERROR(B6/'P&amp;L Gerencial'!O6,0)</f>
        <v>1</v>
      </c>
      <c r="H6" s="83">
        <f>IFERROR(D6/2114576.3,0)</f>
        <v>1.0000000000000002</v>
      </c>
      <c r="I6" s="84" t="s">
        <v>221</v>
      </c>
    </row>
    <row r="7" spans="1:19" ht="4.5" hidden="1" customHeight="1" x14ac:dyDescent="0.35">
      <c r="A7" s="7"/>
      <c r="B7" s="7"/>
      <c r="C7" s="7"/>
      <c r="D7" s="7"/>
      <c r="E7" s="7"/>
      <c r="F7" s="7"/>
      <c r="G7" s="7"/>
      <c r="H7" s="7"/>
      <c r="I7" s="7"/>
    </row>
    <row r="8" spans="1:19" ht="19.5" customHeight="1" x14ac:dyDescent="0.35">
      <c r="A8" s="448" t="s">
        <v>23</v>
      </c>
      <c r="B8" s="448"/>
      <c r="C8" s="448"/>
      <c r="D8" s="448"/>
      <c r="E8" s="448"/>
      <c r="F8" s="448"/>
      <c r="G8" s="448"/>
      <c r="H8" s="448"/>
      <c r="I8" s="448"/>
    </row>
    <row r="9" spans="1:19" ht="15.75" customHeight="1" x14ac:dyDescent="0.35">
      <c r="A9" s="85" t="s">
        <v>222</v>
      </c>
      <c r="B9" s="86">
        <f>'P&amp;L Gerencial'!O11</f>
        <v>238552.34000000003</v>
      </c>
      <c r="C9" s="86">
        <f>'P&amp;L Gerencial'!O11</f>
        <v>238552.34000000003</v>
      </c>
      <c r="D9" s="3">
        <f>'Datos 2026'!O38</f>
        <v>244281.07</v>
      </c>
      <c r="E9" s="81">
        <f>D9-B9</f>
        <v>5728.7299999999814</v>
      </c>
      <c r="F9" s="87">
        <f>IFERROR((D9-B9)/ABS(B9),0)</f>
        <v>2.4014562171136032E-2</v>
      </c>
      <c r="G9" s="83">
        <f>IFERROR(B9/'P&amp;L Gerencial'!O6,0)</f>
        <v>0.11910680250896831</v>
      </c>
      <c r="H9" s="83">
        <f>IFERROR(D9/2114576.3,0)</f>
        <v>0.11552246660477564</v>
      </c>
      <c r="I9" s="88" t="s">
        <v>221</v>
      </c>
    </row>
    <row r="10" spans="1:19" ht="15.75" customHeight="1" x14ac:dyDescent="0.35">
      <c r="A10" s="85" t="s">
        <v>223</v>
      </c>
      <c r="B10" s="86">
        <f>'P&amp;L Gerencial'!O12</f>
        <v>209000</v>
      </c>
      <c r="C10" s="86">
        <f>'P&amp;L Gerencial'!O12</f>
        <v>209000</v>
      </c>
      <c r="D10" s="3">
        <f>'Datos 2026'!O35</f>
        <v>209000</v>
      </c>
      <c r="E10" s="81">
        <f>D10-B10</f>
        <v>0</v>
      </c>
      <c r="F10" s="87">
        <f>IFERROR((D10-B10)/ABS(B10),0)</f>
        <v>0</v>
      </c>
      <c r="G10" s="83">
        <f>IFERROR(B10/'P&amp;L Gerencial'!O6,0)</f>
        <v>0.10435161409179375</v>
      </c>
      <c r="H10" s="83">
        <f>IFERROR(D10/2114576.3,0)</f>
        <v>9.8837767168770421E-2</v>
      </c>
      <c r="I10" s="88" t="s">
        <v>224</v>
      </c>
    </row>
    <row r="11" spans="1:19" ht="15.75" customHeight="1" x14ac:dyDescent="0.35">
      <c r="A11" s="85" t="s">
        <v>225</v>
      </c>
      <c r="B11" s="86">
        <f>'P&amp;L Gerencial'!O13</f>
        <v>8174.4400000000005</v>
      </c>
      <c r="C11" s="86">
        <f>'P&amp;L Gerencial'!O13</f>
        <v>8174.4400000000005</v>
      </c>
      <c r="D11" s="3">
        <f>'Datos 2026'!O39</f>
        <v>8355.4699999999993</v>
      </c>
      <c r="E11" s="81">
        <f>D11-B11</f>
        <v>181.02999999999884</v>
      </c>
      <c r="F11" s="87">
        <f>IFERROR((D11-B11)/ABS(B11),0)</f>
        <v>2.2145859532885288E-2</v>
      </c>
      <c r="G11" s="83">
        <f>IFERROR(B11/'P&amp;L Gerencial'!O6,0)</f>
        <v>4.0814163076388641E-3</v>
      </c>
      <c r="H11" s="83">
        <f>IFERROR(D11/2114576.3,0)</f>
        <v>3.9513684136155318E-3</v>
      </c>
      <c r="I11" s="88" t="s">
        <v>221</v>
      </c>
    </row>
    <row r="12" spans="1:19" ht="15.75" customHeight="1" x14ac:dyDescent="0.35">
      <c r="A12" s="85" t="s">
        <v>226</v>
      </c>
      <c r="B12" s="86">
        <f>'P&amp;L Gerencial'!O14</f>
        <v>22303.78</v>
      </c>
      <c r="C12" s="86">
        <f>'P&amp;L Gerencial'!O14</f>
        <v>22303.78</v>
      </c>
      <c r="D12" s="3">
        <f>'Datos 2026'!O33</f>
        <v>23413.97</v>
      </c>
      <c r="E12" s="81">
        <f>D12-B12</f>
        <v>1110.1900000000023</v>
      </c>
      <c r="F12" s="87">
        <f>IFERROR((D12-B12)/ABS(B12),0)</f>
        <v>4.9775867588364053E-2</v>
      </c>
      <c r="G12" s="83">
        <f>IFERROR(B12/'P&amp;L Gerencial'!O6,0)</f>
        <v>1.1136054752862523E-2</v>
      </c>
      <c r="H12" s="83">
        <f>IFERROR(D12/2114576.3,0)</f>
        <v>1.1072653183524284E-2</v>
      </c>
      <c r="I12" s="88" t="s">
        <v>221</v>
      </c>
    </row>
    <row r="13" spans="1:19" ht="15.75" customHeight="1" x14ac:dyDescent="0.35">
      <c r="A13" s="85" t="s">
        <v>227</v>
      </c>
      <c r="B13" s="86">
        <f>'P&amp;L Gerencial'!O16+'P&amp;L Gerencial'!O17+'P&amp;L Gerencial'!O18+'P&amp;L Gerencial'!O19+'P&amp;L Gerencial'!O20+'P&amp;L Gerencial'!O21+'P&amp;L Gerencial'!O22+'P&amp;L Gerencial'!O23</f>
        <v>33722.350000000006</v>
      </c>
      <c r="C13" s="86">
        <f>'P&amp;L Gerencial'!O16+'P&amp;L Gerencial'!O17+'P&amp;L Gerencial'!O18+'P&amp;L Gerencial'!O19+'P&amp;L Gerencial'!O20+'P&amp;L Gerencial'!O21+'P&amp;L Gerencial'!O22+'P&amp;L Gerencial'!O23</f>
        <v>33722.350000000006</v>
      </c>
      <c r="D13" s="3">
        <f>'Datos 2026'!O53+'Datos 2026'!O54+'Datos 2026'!O64+'Datos 2026'!O66+'Datos 2026'!O67+'Datos 2026'!O69+'Datos 2026'!O75+'Datos 2026'!O76</f>
        <v>35032.410000000011</v>
      </c>
      <c r="E13" s="81">
        <f>D13-B13</f>
        <v>1310.0600000000049</v>
      </c>
      <c r="F13" s="87">
        <f>IFERROR((D13-B13)/ABS(B13),0)</f>
        <v>3.8848419519992072E-2</v>
      </c>
      <c r="G13" s="83">
        <f>IFERROR(B13/'P&amp;L Gerencial'!O6,0)</f>
        <v>1.683723279171484E-2</v>
      </c>
      <c r="H13" s="83">
        <f>IFERROR(D13/2114576.3,0)</f>
        <v>1.6567106138473231E-2</v>
      </c>
      <c r="I13" s="88" t="s">
        <v>221</v>
      </c>
    </row>
    <row r="14" spans="1:19" ht="15.75" customHeight="1" x14ac:dyDescent="0.35">
      <c r="A14" s="80" t="s">
        <v>228</v>
      </c>
      <c r="B14" s="294">
        <f>'P&amp;L Gerencial'!O24</f>
        <v>515452.91</v>
      </c>
      <c r="C14" s="294">
        <f>'P&amp;L Gerencial'!O24</f>
        <v>515452.91</v>
      </c>
      <c r="D14" s="89">
        <f>SUM(D9:D13)</f>
        <v>520082.92000000004</v>
      </c>
      <c r="E14" s="90">
        <f>D14-C14</f>
        <v>4630.0100000000675</v>
      </c>
      <c r="F14" s="82">
        <f>IFERROR((D14-C14)/ABS(C14),0)</f>
        <v>8.9824112157986802E-3</v>
      </c>
      <c r="G14" s="83">
        <f>IFERROR(C14/'P&amp;L Gerencial'!O6,0)</f>
        <v>0.25736049352541673</v>
      </c>
      <c r="H14" s="83">
        <f>IFERROR(D14/2114576.32,0)</f>
        <v>0.24595135918291192</v>
      </c>
      <c r="I14" s="84" t="s">
        <v>221</v>
      </c>
    </row>
    <row r="15" spans="1:19" ht="15.75" customHeight="1" x14ac:dyDescent="0.35">
      <c r="A15" s="91" t="s">
        <v>229</v>
      </c>
      <c r="B15" s="273">
        <f>'P&amp;L Gerencial'!O25</f>
        <v>1487391.0500000005</v>
      </c>
      <c r="C15" s="273">
        <f>'P&amp;L Gerencial'!O25</f>
        <v>1487391.0500000005</v>
      </c>
      <c r="D15" s="92">
        <f>+D6-D14</f>
        <v>1594493.3800000004</v>
      </c>
      <c r="E15" s="90">
        <f>D15-C15</f>
        <v>107102.32999999984</v>
      </c>
      <c r="F15" s="82">
        <f>IFERROR((D15-C15)/ABS(C15),0)</f>
        <v>7.2006840433791644E-2</v>
      </c>
      <c r="G15" s="83">
        <f>IFERROR(C15/'P&amp;L Gerencial'!O6,0)</f>
        <v>0.74263950647458354</v>
      </c>
      <c r="H15" s="83">
        <f>IFERROR(D15/2114576.32,0)</f>
        <v>0.75404863135892886</v>
      </c>
      <c r="I15" s="93" t="s">
        <v>230</v>
      </c>
    </row>
    <row r="16" spans="1:19" ht="4.5" customHeight="1" x14ac:dyDescent="0.35">
      <c r="A16" s="7"/>
      <c r="B16" s="7"/>
      <c r="C16" s="7"/>
      <c r="D16" s="7"/>
      <c r="E16" s="7"/>
      <c r="F16" s="7"/>
      <c r="G16" s="7"/>
      <c r="H16" s="7"/>
      <c r="I16" s="7"/>
    </row>
    <row r="17" spans="1:9" ht="19.5" customHeight="1" x14ac:dyDescent="0.35">
      <c r="A17" s="441" t="s">
        <v>53</v>
      </c>
      <c r="B17" s="441"/>
      <c r="C17" s="441"/>
      <c r="D17" s="441"/>
      <c r="E17" s="441"/>
      <c r="F17" s="441"/>
      <c r="G17" s="441"/>
      <c r="H17" s="441"/>
      <c r="I17" s="441"/>
    </row>
    <row r="18" spans="1:9" ht="15.75" customHeight="1" x14ac:dyDescent="0.35">
      <c r="A18" s="85" t="s">
        <v>231</v>
      </c>
      <c r="B18" s="86">
        <f>'P&amp;L Gerencial'!O29</f>
        <v>280134.96000000002</v>
      </c>
      <c r="C18" s="86">
        <f>'P&amp;L Gerencial'!O29</f>
        <v>280134.96000000002</v>
      </c>
      <c r="D18" s="3">
        <f>'Datos 2026'!O7</f>
        <v>291499.81000000006</v>
      </c>
      <c r="E18" s="81">
        <f>D18-B18</f>
        <v>11364.850000000035</v>
      </c>
      <c r="F18" s="87">
        <f>IFERROR((D18-B18)/ABS(B18),0)</f>
        <v>4.0569195647697932E-2</v>
      </c>
      <c r="G18" s="83">
        <f>IFERROR(B18/'P&amp;L Gerencial'!O6,0)</f>
        <v>0.13986858966287119</v>
      </c>
      <c r="H18" s="83">
        <f>IFERROR(D18/2114576.3,0)</f>
        <v>0.13785258540919051</v>
      </c>
      <c r="I18" s="88" t="s">
        <v>221</v>
      </c>
    </row>
    <row r="19" spans="1:9" ht="15.75" customHeight="1" x14ac:dyDescent="0.35">
      <c r="A19" s="85" t="s">
        <v>232</v>
      </c>
      <c r="B19" s="86">
        <f>'P&amp;L Gerencial'!O36+'P&amp;L Gerencial'!O45+'P&amp;L Gerencial'!O43</f>
        <v>111592.03</v>
      </c>
      <c r="C19" s="86">
        <f>'P&amp;L Gerencial'!O36+'P&amp;L Gerencial'!O45+'P&amp;L Gerencial'!O43</f>
        <v>111592.03</v>
      </c>
      <c r="D19" s="3">
        <f>'Datos 2026'!O14+'Datos 2026'!O23+'Datos 2026'!O21</f>
        <v>114739.18000000001</v>
      </c>
      <c r="E19" s="81">
        <f>D19-B19</f>
        <v>3147.1500000000087</v>
      </c>
      <c r="F19" s="87">
        <f>IFERROR((D19-B19)/ABS(B19),0)</f>
        <v>2.8202282904970979E-2</v>
      </c>
      <c r="G19" s="83">
        <f>IFERROR(B19/'P&amp;L Gerencial'!O6,0)</f>
        <v>5.571678684344436E-2</v>
      </c>
      <c r="H19" s="83">
        <f>IFERROR(D19/2114576.3,0)</f>
        <v>5.426107348313703E-2</v>
      </c>
      <c r="I19" s="88" t="s">
        <v>221</v>
      </c>
    </row>
    <row r="20" spans="1:9" ht="15.75" customHeight="1" x14ac:dyDescent="0.35">
      <c r="A20" s="85" t="s">
        <v>233</v>
      </c>
      <c r="B20" s="86">
        <f>'P&amp;L Gerencial'!O30+'P&amp;L Gerencial'!O31+'P&amp;L Gerencial'!O32+'P&amp;L Gerencial'!O33+'P&amp;L Gerencial'!O34+'P&amp;L Gerencial'!O35+'P&amp;L Gerencial'!O37+'P&amp;L Gerencial'!O38+'P&amp;L Gerencial'!O39+'P&amp;L Gerencial'!O40+'P&amp;L Gerencial'!O41+'P&amp;L Gerencial'!O42+'P&amp;L Gerencial'!O44</f>
        <v>125612.65000000001</v>
      </c>
      <c r="C20" s="86">
        <f>'P&amp;L Gerencial'!O30+'P&amp;L Gerencial'!O31+'P&amp;L Gerencial'!O32+'P&amp;L Gerencial'!O33+'P&amp;L Gerencial'!O34+'P&amp;L Gerencial'!O35+'P&amp;L Gerencial'!O37+'P&amp;L Gerencial'!O38+'P&amp;L Gerencial'!O39+'P&amp;L Gerencial'!O40+'P&amp;L Gerencial'!O41+'P&amp;L Gerencial'!O42+'P&amp;L Gerencial'!O44</f>
        <v>125612.65000000001</v>
      </c>
      <c r="D20" s="3">
        <f>'Datos 2026'!O8+'Datos 2026'!O9+'Datos 2026'!O10+'Datos 2026'!O11+'Datos 2026'!O12+'Datos 2026'!O13+'Datos 2026'!O15+'Datos 2026'!O16+'Datos 2026'!O17+'Datos 2026'!O18+'Datos 2026'!O19+'Datos 2026'!O20+'Datos 2026'!O22</f>
        <v>126960.03000000003</v>
      </c>
      <c r="E20" s="81">
        <f>D20-B20</f>
        <v>1347.3800000000192</v>
      </c>
      <c r="F20" s="87">
        <f>IFERROR((D20-B20)/ABS(B20),0)</f>
        <v>1.0726467437794037E-2</v>
      </c>
      <c r="G20" s="83">
        <f>IFERROR(B20/'P&amp;L Gerencial'!O6,0)</f>
        <v>6.2717142477739504E-2</v>
      </c>
      <c r="H20" s="83">
        <f>IFERROR(D20/2114576.3,0)</f>
        <v>6.0040410932440717E-2</v>
      </c>
      <c r="I20" s="88" t="s">
        <v>221</v>
      </c>
    </row>
    <row r="21" spans="1:9" ht="15.75" customHeight="1" x14ac:dyDescent="0.35">
      <c r="A21" s="80" t="s">
        <v>234</v>
      </c>
      <c r="B21" s="294">
        <f>'P&amp;L Gerencial'!O46</f>
        <v>517339.63999999996</v>
      </c>
      <c r="C21" s="294">
        <f>'P&amp;L Gerencial'!O46</f>
        <v>517339.63999999996</v>
      </c>
      <c r="D21" s="89">
        <f>SUM(D18:D20)</f>
        <v>533199.02</v>
      </c>
      <c r="E21" s="90">
        <f>D21-C21</f>
        <v>15859.380000000063</v>
      </c>
      <c r="F21" s="82">
        <f>IFERROR((D21-C21)/ABS(C21),0)</f>
        <v>3.0655644326810262E-2</v>
      </c>
      <c r="G21" s="83">
        <f>IFERROR(C21/'P&amp;L Gerencial'!O6,0)</f>
        <v>0.25830251898405504</v>
      </c>
      <c r="H21" s="83">
        <f>IFERROR(D21/2114576.32,0)</f>
        <v>0.25215406743985486</v>
      </c>
      <c r="I21" s="84" t="s">
        <v>221</v>
      </c>
    </row>
    <row r="22" spans="1:9" ht="4.5" customHeight="1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ht="19.5" customHeight="1" x14ac:dyDescent="0.35">
      <c r="A23" s="442" t="s">
        <v>91</v>
      </c>
      <c r="B23" s="442"/>
      <c r="C23" s="442"/>
      <c r="D23" s="442"/>
      <c r="E23" s="442"/>
      <c r="F23" s="442"/>
      <c r="G23" s="442"/>
      <c r="H23" s="442"/>
      <c r="I23" s="442"/>
    </row>
    <row r="24" spans="1:9" ht="15.75" customHeight="1" x14ac:dyDescent="0.35">
      <c r="A24" s="85" t="s">
        <v>235</v>
      </c>
      <c r="B24" s="86">
        <f>'P&amp;L Gerencial'!O56</f>
        <v>42784.829999999994</v>
      </c>
      <c r="C24" s="86">
        <f>'P&amp;L Gerencial'!O56</f>
        <v>42784.829999999994</v>
      </c>
      <c r="D24" s="3">
        <f>'Datos 2026'!O73</f>
        <v>44490.87</v>
      </c>
      <c r="E24" s="81">
        <f>D24-B24</f>
        <v>1706.0400000000081</v>
      </c>
      <c r="F24" s="87">
        <f>IFERROR((D24-B24)/ABS(B24),0)</f>
        <v>3.9874880886520019E-2</v>
      </c>
      <c r="G24" s="83">
        <f>IFERROR(B24/'P&amp;L Gerencial'!O6,0)</f>
        <v>2.1362038608339712E-2</v>
      </c>
      <c r="H24" s="83">
        <f>IFERROR(D24/2114576.3,0)</f>
        <v>2.1040087321512118E-2</v>
      </c>
      <c r="I24" s="88" t="s">
        <v>221</v>
      </c>
    </row>
    <row r="25" spans="1:9" ht="15.75" customHeight="1" x14ac:dyDescent="0.35">
      <c r="A25" s="85" t="s">
        <v>236</v>
      </c>
      <c r="B25" s="86">
        <f>'P&amp;L Gerencial'!O51+'P&amp;L Gerencial'!O52+'P&amp;L Gerencial'!O53</f>
        <v>22960.12</v>
      </c>
      <c r="C25" s="86">
        <f>'P&amp;L Gerencial'!O51+'P&amp;L Gerencial'!O52+'P&amp;L Gerencial'!O53</f>
        <v>22960.12</v>
      </c>
      <c r="D25" s="3">
        <f>'Datos 2026'!O41+'Datos 2026'!O47+'Datos 2026'!O48</f>
        <v>25006.550000000003</v>
      </c>
      <c r="E25" s="81">
        <f>D25-B25</f>
        <v>2046.4300000000039</v>
      </c>
      <c r="F25" s="87">
        <f>IFERROR((D25-B25)/ABS(B25),0)</f>
        <v>8.9129760645850459E-2</v>
      </c>
      <c r="G25" s="83">
        <f>IFERROR(B25/'P&amp;L Gerencial'!O6,0)</f>
        <v>1.1463758764312323E-2</v>
      </c>
      <c r="H25" s="83">
        <f>IFERROR(D25/2114576.3,0)</f>
        <v>1.1825796969350317E-2</v>
      </c>
      <c r="I25" s="88" t="s">
        <v>221</v>
      </c>
    </row>
    <row r="26" spans="1:9" ht="15.75" customHeight="1" x14ac:dyDescent="0.35">
      <c r="A26" s="85" t="s">
        <v>237</v>
      </c>
      <c r="B26" s="86">
        <f>'P&amp;L Gerencial'!O54+'P&amp;L Gerencial'!O55</f>
        <v>39954.439999999995</v>
      </c>
      <c r="C26" s="86">
        <f>'P&amp;L Gerencial'!O54+'P&amp;L Gerencial'!O55</f>
        <v>39954.439999999995</v>
      </c>
      <c r="D26" s="3">
        <f>'Datos 2026'!O49+'Datos 2026'!O52</f>
        <v>41561.890000000007</v>
      </c>
      <c r="E26" s="81">
        <f>D26-B26</f>
        <v>1607.4500000000116</v>
      </c>
      <c r="F26" s="87">
        <f>IFERROR((D26-B26)/ABS(B26),0)</f>
        <v>4.0232074332665201E-2</v>
      </c>
      <c r="G26" s="83">
        <f>IFERROR(B26/'P&amp;L Gerencial'!O6,0)</f>
        <v>1.9948853129826447E-2</v>
      </c>
      <c r="H26" s="83">
        <f>IFERROR(D26/2114576.3,0)</f>
        <v>1.9654949315378221E-2</v>
      </c>
      <c r="I26" s="88" t="s">
        <v>221</v>
      </c>
    </row>
    <row r="27" spans="1:9" ht="15.75" customHeight="1" x14ac:dyDescent="0.35">
      <c r="A27" s="80" t="s">
        <v>238</v>
      </c>
      <c r="B27" s="294">
        <f>'P&amp;L Gerencial'!O57</f>
        <v>105699.39</v>
      </c>
      <c r="C27" s="294">
        <f>'P&amp;L Gerencial'!O57</f>
        <v>105699.39</v>
      </c>
      <c r="D27" s="89">
        <f>SUM(D24:D26)</f>
        <v>111059.31000000003</v>
      </c>
      <c r="E27" s="90">
        <f>D27-C27</f>
        <v>5359.9200000000274</v>
      </c>
      <c r="F27" s="82">
        <f>IFERROR((D27-C27)/ABS(C27),0)</f>
        <v>5.0709091130989759E-2</v>
      </c>
      <c r="G27" s="83">
        <f>IFERROR(C27/'P&amp;L Gerencial'!O6,0)</f>
        <v>5.2774650502478489E-2</v>
      </c>
      <c r="H27" s="83">
        <f>IFERROR(D27/2114576.32,0)</f>
        <v>5.2520833109490246E-2</v>
      </c>
      <c r="I27" s="84" t="s">
        <v>221</v>
      </c>
    </row>
    <row r="28" spans="1:9" ht="4.5" customHeight="1" x14ac:dyDescent="0.35">
      <c r="A28" s="7"/>
      <c r="B28" s="7"/>
      <c r="C28" s="7"/>
      <c r="D28" s="7"/>
      <c r="E28" s="7"/>
      <c r="F28" s="7"/>
      <c r="G28" s="7"/>
      <c r="H28" s="7"/>
      <c r="I28" s="7"/>
    </row>
    <row r="29" spans="1:9" ht="19.5" customHeight="1" x14ac:dyDescent="0.35">
      <c r="A29" s="443" t="s">
        <v>106</v>
      </c>
      <c r="B29" s="443"/>
      <c r="C29" s="443"/>
      <c r="D29" s="443"/>
      <c r="E29" s="443"/>
      <c r="F29" s="443"/>
      <c r="G29" s="443"/>
      <c r="H29" s="443"/>
      <c r="I29" s="443"/>
    </row>
    <row r="30" spans="1:9" ht="15.75" customHeight="1" x14ac:dyDescent="0.35">
      <c r="A30" s="85" t="s">
        <v>239</v>
      </c>
      <c r="B30" s="86">
        <f>'P&amp;L Gerencial'!O61+'P&amp;L Gerencial'!O62+'P&amp;L Gerencial'!O63+'P&amp;L Gerencial'!O64</f>
        <v>39040</v>
      </c>
      <c r="C30" s="86">
        <f>'P&amp;L Gerencial'!O61+'P&amp;L Gerencial'!O62+'P&amp;L Gerencial'!O63+'P&amp;L Gerencial'!O64</f>
        <v>39040</v>
      </c>
      <c r="D30" s="3">
        <f>'Datos 2026'!O29+'Datos 2026'!O30+'Datos 2026'!O31+'Datos 2026'!O32</f>
        <v>39604.5</v>
      </c>
      <c r="E30" s="81">
        <f>D30-B30</f>
        <v>564.5</v>
      </c>
      <c r="F30" s="87">
        <f>IFERROR((D30-B30)/ABS(B30),0)</f>
        <v>1.4459528688524591E-2</v>
      </c>
      <c r="G30" s="83">
        <f>IFERROR(B30/'P&amp;L Gerencial'!O6,0)</f>
        <v>1.9492282364323578E-2</v>
      </c>
      <c r="H30" s="83">
        <f>IFERROR(D30/2114576.3,0)</f>
        <v>1.872928397050511E-2</v>
      </c>
      <c r="I30" s="88" t="s">
        <v>221</v>
      </c>
    </row>
    <row r="31" spans="1:9" ht="15.75" customHeight="1" x14ac:dyDescent="0.35">
      <c r="A31" s="85" t="s">
        <v>240</v>
      </c>
      <c r="B31" s="86">
        <f>'P&amp;L Gerencial'!O67+'P&amp;L Gerencial'!O70</f>
        <v>17646.080000000002</v>
      </c>
      <c r="C31" s="86">
        <f>'P&amp;L Gerencial'!O67+'P&amp;L Gerencial'!O70</f>
        <v>17646.080000000002</v>
      </c>
      <c r="D31" s="3">
        <f>'Datos 2026'!O57+'Datos 2026'!O60</f>
        <v>18271.64</v>
      </c>
      <c r="E31" s="81">
        <f>D31-B31</f>
        <v>625.55999999999767</v>
      </c>
      <c r="F31" s="87">
        <f>IFERROR((D31-B31)/ABS(B31),0)</f>
        <v>3.5450366313651394E-2</v>
      </c>
      <c r="G31" s="83">
        <f>IFERROR(B31/'P&amp;L Gerencial'!O6,0)</f>
        <v>8.8105116286742585E-3</v>
      </c>
      <c r="H31" s="83">
        <f>IFERROR(D31/2114576.3,0)</f>
        <v>8.6408043067540304E-3</v>
      </c>
      <c r="I31" s="88" t="s">
        <v>221</v>
      </c>
    </row>
    <row r="32" spans="1:9" ht="15.75" customHeight="1" x14ac:dyDescent="0.35">
      <c r="A32" s="85" t="s">
        <v>241</v>
      </c>
      <c r="B32" s="86">
        <f>'P&amp;L Gerencial'!O65+'P&amp;L Gerencial'!O66+'P&amp;L Gerencial'!O68+'P&amp;L Gerencial'!O69+'P&amp;L Gerencial'!O71+'P&amp;L Gerencial'!O72+'P&amp;L Gerencial'!O73+'P&amp;L Gerencial'!O74+'P&amp;L Gerencial'!O75+'P&amp;L Gerencial'!O76+'P&amp;L Gerencial'!O77+'P&amp;L Gerencial'!O78+'P&amp;L Gerencial'!O79+'P&amp;L Gerencial'!O80</f>
        <v>19243.260000000002</v>
      </c>
      <c r="C32" s="86">
        <f>'P&amp;L Gerencial'!O65+'P&amp;L Gerencial'!O66+'P&amp;L Gerencial'!O68+'P&amp;L Gerencial'!O69+'P&amp;L Gerencial'!O71+'P&amp;L Gerencial'!O72+'P&amp;L Gerencial'!O73+'P&amp;L Gerencial'!O74+'P&amp;L Gerencial'!O75+'P&amp;L Gerencial'!O76+'P&amp;L Gerencial'!O77+'P&amp;L Gerencial'!O78+'P&amp;L Gerencial'!O79+'P&amp;L Gerencial'!O80</f>
        <v>19243.260000000002</v>
      </c>
      <c r="D32" s="3">
        <f>'Datos 2026'!O55+'Datos 2026'!O56+'Datos 2026'!O58+'Datos 2026'!O59+'Datos 2026'!O61+'Datos 2026'!O62+'Datos 2026'!O65+'Datos 2026'!O68+'Datos 2026'!O70+'Datos 2026'!O71+'Datos 2026'!O72+'Datos 2026'!O74+'Datos 2026'!O77+'Datos 2026'!O78</f>
        <v>19835.769999999997</v>
      </c>
      <c r="E32" s="81">
        <f>D32-B32</f>
        <v>592.50999999999476</v>
      </c>
      <c r="F32" s="87">
        <f>IFERROR((D32-B32)/ABS(B32),0)</f>
        <v>3.0790520940838232E-2</v>
      </c>
      <c r="G32" s="83">
        <f>IFERROR(B32/'P&amp;L Gerencial'!O6,0)</f>
        <v>9.6079676621437862E-3</v>
      </c>
      <c r="H32" s="83">
        <f>IFERROR(D32/2114576.3,0)</f>
        <v>9.3804938606377071E-3</v>
      </c>
      <c r="I32" s="88" t="s">
        <v>221</v>
      </c>
    </row>
    <row r="33" spans="1:9" ht="15.75" customHeight="1" x14ac:dyDescent="0.35">
      <c r="A33" s="80" t="s">
        <v>242</v>
      </c>
      <c r="B33" s="294">
        <f>'P&amp;L Gerencial'!O81</f>
        <v>75929.340000000026</v>
      </c>
      <c r="C33" s="294">
        <f>'P&amp;L Gerencial'!O81</f>
        <v>75929.340000000026</v>
      </c>
      <c r="D33" s="89">
        <f>SUM(D30:D32)</f>
        <v>77711.91</v>
      </c>
      <c r="E33" s="90">
        <f>D33-C33</f>
        <v>1782.5699999999779</v>
      </c>
      <c r="F33" s="82">
        <f>IFERROR((D33-C33)/ABS(C33),0)</f>
        <v>2.3476695569854517E-2</v>
      </c>
      <c r="G33" s="83">
        <f>IFERROR(C33/'P&amp;L Gerencial'!O6,0)</f>
        <v>3.7910761655141637E-2</v>
      </c>
      <c r="H33" s="83">
        <f>IFERROR(D33/2114576.32,0)</f>
        <v>3.6750581790303986E-2</v>
      </c>
      <c r="I33" s="84" t="s">
        <v>221</v>
      </c>
    </row>
    <row r="34" spans="1:9" ht="4.5" customHeight="1" x14ac:dyDescent="0.35">
      <c r="A34" s="7"/>
      <c r="B34" s="7"/>
      <c r="C34" s="7"/>
      <c r="D34" s="7"/>
      <c r="E34" s="7"/>
      <c r="F34" s="7"/>
      <c r="G34" s="7"/>
      <c r="H34" s="7"/>
      <c r="I34" s="7"/>
    </row>
    <row r="35" spans="1:9" ht="19.5" customHeight="1" x14ac:dyDescent="0.35">
      <c r="A35" s="444" t="s">
        <v>148</v>
      </c>
      <c r="B35" s="444"/>
      <c r="C35" s="444"/>
      <c r="D35" s="444"/>
      <c r="E35" s="444"/>
      <c r="F35" s="444"/>
      <c r="G35" s="444"/>
      <c r="H35" s="444"/>
      <c r="I35" s="444"/>
    </row>
    <row r="36" spans="1:9" ht="15.75" customHeight="1" x14ac:dyDescent="0.35">
      <c r="A36" s="85" t="s">
        <v>243</v>
      </c>
      <c r="B36" s="86">
        <f>'P&amp;L Gerencial'!O84</f>
        <v>583542.5</v>
      </c>
      <c r="C36" s="86">
        <f>'P&amp;L Gerencial'!O84</f>
        <v>583542.5</v>
      </c>
      <c r="D36" s="3">
        <f>'Datos 2026'!O36</f>
        <v>593198.85</v>
      </c>
      <c r="E36" s="81">
        <f>D36-B36</f>
        <v>9656.3499999999767</v>
      </c>
      <c r="F36" s="87">
        <f>IFERROR((D36-B36)/ABS(B36),0)</f>
        <v>1.6547809285527577E-2</v>
      </c>
      <c r="G36" s="83">
        <f>IFERROR(B36/'P&amp;L Gerencial'!O6,0)</f>
        <v>0.29135694624957204</v>
      </c>
      <c r="H36" s="83">
        <f>IFERROR(D36/2114576.3,0)</f>
        <v>0.28052846804345627</v>
      </c>
      <c r="I36" s="88" t="s">
        <v>221</v>
      </c>
    </row>
    <row r="37" spans="1:9" ht="15.75" customHeight="1" x14ac:dyDescent="0.35">
      <c r="A37" s="85" t="s">
        <v>244</v>
      </c>
      <c r="B37" s="86">
        <f>'P&amp;L Gerencial'!O92</f>
        <v>16010.17</v>
      </c>
      <c r="C37" s="86">
        <f>'P&amp;L Gerencial'!O92</f>
        <v>16010.17</v>
      </c>
      <c r="D37" s="3">
        <f>'Datos 2026'!O50</f>
        <v>16628.339999999997</v>
      </c>
      <c r="E37" s="81">
        <f>D37-B37</f>
        <v>618.16999999999643</v>
      </c>
      <c r="F37" s="87">
        <f>IFERROR((D37-B37)/ABS(B37),0)</f>
        <v>3.8611082830475658E-2</v>
      </c>
      <c r="G37" s="83">
        <f>IFERROR(B37/'P&amp;L Gerencial'!O6,0)</f>
        <v>7.9937180927464758E-3</v>
      </c>
      <c r="H37" s="83">
        <f>IFERROR(D37/2114576.3,0)</f>
        <v>7.863674628340438E-3</v>
      </c>
      <c r="I37" s="88" t="s">
        <v>221</v>
      </c>
    </row>
    <row r="38" spans="1:9" ht="15.75" customHeight="1" x14ac:dyDescent="0.35">
      <c r="A38" s="85" t="s">
        <v>245</v>
      </c>
      <c r="B38" s="86">
        <f>'P&amp;L Gerencial'!O85+'P&amp;L Gerencial'!O86+'P&amp;L Gerencial'!O87+'P&amp;L Gerencial'!O88+'P&amp;L Gerencial'!O89+'P&amp;L Gerencial'!O90+'P&amp;L Gerencial'!O91+'P&amp;L Gerencial'!O93+'P&amp;L Gerencial'!O94+'P&amp;L Gerencial'!O95+'P&amp;L Gerencial'!O96+'P&amp;L Gerencial'!O97+'P&amp;L Gerencial'!O98</f>
        <v>23197.42</v>
      </c>
      <c r="C38" s="86">
        <f>'P&amp;L Gerencial'!O85+'P&amp;L Gerencial'!O86+'P&amp;L Gerencial'!O87+'P&amp;L Gerencial'!O88+'P&amp;L Gerencial'!O89+'P&amp;L Gerencial'!O90+'P&amp;L Gerencial'!O91+'P&amp;L Gerencial'!O93+'P&amp;L Gerencial'!O94+'P&amp;L Gerencial'!O95+'P&amp;L Gerencial'!O96+'P&amp;L Gerencial'!O97+'P&amp;L Gerencial'!O98</f>
        <v>23197.42</v>
      </c>
      <c r="D38" s="3">
        <f>'Datos 2026'!O37+'Datos 2026'!O40+'Datos 2026'!O42+'Datos 2026'!O43+'Datos 2026'!O44+'Datos 2026'!O45+'Datos 2026'!O46+'Datos 2026'!O51+'Datos 2026'!O24+'Datos 2026'!O25+'Datos 2026'!O26+'Datos 2026'!O27+'Datos 2026'!O28</f>
        <v>23551.010000000002</v>
      </c>
      <c r="E38" s="81">
        <f>D38-B38</f>
        <v>353.59000000000378</v>
      </c>
      <c r="F38" s="87">
        <f>IFERROR((D38-B38)/ABS(B38),0)</f>
        <v>1.5242643362925868E-2</v>
      </c>
      <c r="G38" s="83">
        <f>IFERROR(B38/'P&amp;L Gerencial'!O6,0)</f>
        <v>1.1582240285958173E-2</v>
      </c>
      <c r="H38" s="83">
        <f>IFERROR(D38/2114576.3,0)</f>
        <v>1.1137460492676478E-2</v>
      </c>
      <c r="I38" s="88" t="s">
        <v>221</v>
      </c>
    </row>
    <row r="39" spans="1:9" ht="15.75" customHeight="1" x14ac:dyDescent="0.35">
      <c r="A39" s="80" t="s">
        <v>246</v>
      </c>
      <c r="B39" s="294">
        <f>'P&amp;L Gerencial'!O99</f>
        <v>622750.09000000008</v>
      </c>
      <c r="C39" s="294">
        <f>'P&amp;L Gerencial'!O99</f>
        <v>622750.09000000008</v>
      </c>
      <c r="D39" s="94">
        <f>D36+D37+D38</f>
        <v>633378.19999999995</v>
      </c>
      <c r="E39" s="81">
        <f>D39-B39</f>
        <v>10628.10999999987</v>
      </c>
      <c r="F39" s="82">
        <f>IFERROR((D39-B39)/ABS(B39),0)</f>
        <v>1.70664126278968E-2</v>
      </c>
      <c r="G39" s="83">
        <f>IFERROR(B39/'P&amp;L Gerencial'!O6,0)</f>
        <v>0.31093290462827672</v>
      </c>
      <c r="H39" s="83">
        <f>IFERROR(D39/2114576.3,0)</f>
        <v>0.29952960316447319</v>
      </c>
      <c r="I39" s="84" t="s">
        <v>221</v>
      </c>
    </row>
    <row r="40" spans="1:9" ht="7.5" customHeight="1" x14ac:dyDescent="0.35">
      <c r="A40" s="7"/>
      <c r="B40" s="295"/>
      <c r="C40" s="295"/>
      <c r="D40" s="7"/>
      <c r="E40" s="7"/>
      <c r="F40" s="7"/>
      <c r="G40" s="7"/>
      <c r="H40" s="7"/>
      <c r="I40" s="7"/>
    </row>
    <row r="41" spans="1:9" ht="15.75" customHeight="1" x14ac:dyDescent="0.35">
      <c r="A41" s="91" t="s">
        <v>247</v>
      </c>
      <c r="B41" s="273">
        <f>'P&amp;L Gerencial'!O101</f>
        <v>165672.59000000005</v>
      </c>
      <c r="C41" s="273">
        <f>'P&amp;L Gerencial'!O101</f>
        <v>165672.59000000005</v>
      </c>
      <c r="D41" s="92">
        <f>+D15-D21-D27-D33-D39</f>
        <v>239144.94000000029</v>
      </c>
      <c r="E41" s="90">
        <f>D41-C41</f>
        <v>73472.350000000239</v>
      </c>
      <c r="F41" s="82">
        <f>IFERROR((D41-C41)/ABS(C41),0)</f>
        <v>0.44347921403293217</v>
      </c>
      <c r="G41" s="83">
        <f>IFERROR(C41/'P&amp;L Gerencial'!O6,0)</f>
        <v>8.2718670704631458E-2</v>
      </c>
      <c r="H41" s="83">
        <f>IFERROR(D41/2114576.32,0)</f>
        <v>0.11309354868780537</v>
      </c>
      <c r="I41" s="93" t="s">
        <v>230</v>
      </c>
    </row>
    <row r="42" spans="1:9" ht="15.75" customHeight="1" x14ac:dyDescent="0.35">
      <c r="A42" s="85" t="s">
        <v>248</v>
      </c>
      <c r="B42" s="95">
        <f>IFERROR(B41/B6,0)</f>
        <v>8.2718670704631458E-2</v>
      </c>
      <c r="C42" s="95">
        <f>IFERROR(C41/C6,0)</f>
        <v>8.2718670704631458E-2</v>
      </c>
      <c r="D42" s="95">
        <f>IFERROR(D41/D6,0)</f>
        <v>0.11309354975746218</v>
      </c>
      <c r="E42" s="87">
        <f>IFERROR(D42-B42,0)</f>
        <v>3.0374879052830719E-2</v>
      </c>
      <c r="F42" s="87">
        <f>IFERROR((D42-B42)/ABS(B42),0)</f>
        <v>0.36720705004184762</v>
      </c>
      <c r="G42" s="83">
        <f>IFERROR(C42/'P&amp;L Gerencial'!O6,0)</f>
        <v>4.1300606715578311E-8</v>
      </c>
      <c r="H42" s="83">
        <f>IFERROR(D42/2114576.32,0)</f>
        <v>5.348284130858998E-8</v>
      </c>
      <c r="I42" s="96" t="s">
        <v>230</v>
      </c>
    </row>
    <row r="43" spans="1:9" ht="3.75" customHeight="1" x14ac:dyDescent="0.35">
      <c r="A43" s="7"/>
      <c r="B43" s="7"/>
      <c r="C43" s="7"/>
      <c r="D43" s="7"/>
      <c r="E43" s="7"/>
      <c r="F43" s="7"/>
      <c r="G43" s="7"/>
      <c r="H43" s="7"/>
      <c r="I43" s="7"/>
    </row>
    <row r="44" spans="1:9" ht="19.5" customHeight="1" x14ac:dyDescent="0.35">
      <c r="A44" s="445" t="s">
        <v>249</v>
      </c>
      <c r="B44" s="445"/>
      <c r="C44" s="445"/>
      <c r="D44" s="445"/>
      <c r="E44" s="445"/>
      <c r="F44" s="445"/>
      <c r="G44" s="445"/>
      <c r="H44" s="445"/>
      <c r="I44" s="445"/>
    </row>
    <row r="45" spans="1:9" ht="15.75" customHeight="1" x14ac:dyDescent="0.35">
      <c r="A45" s="97" t="s">
        <v>250</v>
      </c>
      <c r="B45" s="98">
        <f>'P&amp;L Gerencial'!O111</f>
        <v>7526.7300000000014</v>
      </c>
      <c r="C45" s="98">
        <f>'P&amp;L Gerencial'!O111</f>
        <v>7526.7300000000014</v>
      </c>
      <c r="D45" s="99">
        <f>'Datos 2026'!O81+'Datos 2026'!O82+'Datos 2026'!O83+'Datos 2026'!O84+'Datos 2026'!O85</f>
        <v>7526.73</v>
      </c>
      <c r="E45" s="81">
        <f>D45-B45</f>
        <v>0</v>
      </c>
      <c r="F45" s="296">
        <f>IFERROR((D45-B45)/ABS(B45),0)</f>
        <v>-2.4167060643145909E-16</v>
      </c>
      <c r="G45" s="83">
        <f>IFERROR(B45/'P&amp;L Gerencial'!O6,0)</f>
        <v>3.7580211690580235E-3</v>
      </c>
      <c r="H45" s="83">
        <f>IFERROR(D45/2114576.3,0)</f>
        <v>3.5594506568526283E-3</v>
      </c>
      <c r="I45" s="100" t="s">
        <v>224</v>
      </c>
    </row>
    <row r="46" spans="1:9" ht="15.75" customHeight="1" x14ac:dyDescent="0.35">
      <c r="A46" s="80" t="s">
        <v>251</v>
      </c>
      <c r="B46" s="294">
        <f>'P&amp;L Gerencial'!O112</f>
        <v>158145.86000000004</v>
      </c>
      <c r="C46" s="294">
        <f>'P&amp;L Gerencial'!O112</f>
        <v>158145.86000000004</v>
      </c>
      <c r="D46" s="89">
        <f>+D41-D45</f>
        <v>231618.21000000028</v>
      </c>
      <c r="E46" s="90">
        <f>D46-C46</f>
        <v>73472.350000000239</v>
      </c>
      <c r="F46" s="82">
        <f>IFERROR((D46-C46)/ABS(C46),0)</f>
        <v>0.46458598410353719</v>
      </c>
      <c r="G46" s="83">
        <f>IFERROR(C46/'P&amp;L Gerencial'!O6,0)</f>
        <v>7.8960649535573427E-2</v>
      </c>
      <c r="H46" s="83">
        <f>IFERROR(D46/2114576.32,0)</f>
        <v>0.10953409806461858</v>
      </c>
      <c r="I46" s="84" t="s">
        <v>221</v>
      </c>
    </row>
    <row r="47" spans="1:9" ht="4.5" customHeight="1" x14ac:dyDescent="0.35">
      <c r="A47" s="7"/>
      <c r="B47" s="7"/>
      <c r="C47" s="7"/>
      <c r="D47" s="7"/>
      <c r="E47" s="7"/>
      <c r="F47" s="7"/>
      <c r="G47" s="7"/>
      <c r="H47" s="7"/>
      <c r="I47" s="7"/>
    </row>
    <row r="48" spans="1:9" ht="19.5" customHeight="1" x14ac:dyDescent="0.35">
      <c r="A48" s="439" t="s">
        <v>252</v>
      </c>
      <c r="B48" s="439"/>
      <c r="C48" s="439"/>
      <c r="D48" s="439"/>
      <c r="E48" s="439"/>
      <c r="F48" s="439"/>
      <c r="G48" s="439"/>
      <c r="H48" s="439"/>
      <c r="I48" s="439"/>
    </row>
    <row r="49" spans="1:16" ht="15.75" customHeight="1" x14ac:dyDescent="0.35">
      <c r="A49" s="85" t="s">
        <v>207</v>
      </c>
      <c r="B49" s="297">
        <f>'P&amp;L Gerencial'!O118+'P&amp;L Gerencial'!O119-'P&amp;L Gerencial'!O115-'P&amp;L Gerencial'!O116</f>
        <v>-23455.02</v>
      </c>
      <c r="C49" s="297">
        <f>'P&amp;L Gerencial'!O118+'P&amp;L Gerencial'!O119-'P&amp;L Gerencial'!O115-'P&amp;L Gerencial'!O116</f>
        <v>-23455.02</v>
      </c>
      <c r="D49" s="298">
        <f>'Datos 2026'!O5+'Datos 2026'!O6-'Datos 2026'!O79+'Datos 2026'!O80</f>
        <v>-23429.24</v>
      </c>
      <c r="E49" s="81">
        <f>D49-B49</f>
        <v>25.779999999998836</v>
      </c>
      <c r="F49" s="87">
        <f>IFERROR((D49-B49)/ABS(B49),0)</f>
        <v>1.0991250487102052E-3</v>
      </c>
      <c r="G49" s="299">
        <f>IFERROR(B49/'P&amp;L Gerencial'!O6,0)</f>
        <v>-1.1710857395001457E-2</v>
      </c>
      <c r="H49" s="299">
        <f>IFERROR(D49/2114576.3,0)</f>
        <v>-1.1079874488331304E-2</v>
      </c>
      <c r="I49" s="88" t="s">
        <v>224</v>
      </c>
    </row>
    <row r="50" spans="1:16" ht="7.5" customHeight="1" x14ac:dyDescent="0.35">
      <c r="A50" s="7"/>
      <c r="B50" s="7"/>
      <c r="C50" s="7"/>
      <c r="D50" s="7"/>
      <c r="E50" s="7"/>
      <c r="F50" s="7"/>
      <c r="G50" s="7"/>
      <c r="H50" s="7"/>
      <c r="I50" s="7"/>
    </row>
    <row r="51" spans="1:16" ht="15.75" customHeight="1" x14ac:dyDescent="0.35">
      <c r="A51" s="91" t="s">
        <v>208</v>
      </c>
      <c r="B51" s="273">
        <f>'P&amp;L Gerencial'!O123</f>
        <v>134690.84000000008</v>
      </c>
      <c r="C51" s="273">
        <f>'P&amp;L Gerencial'!O123</f>
        <v>134690.84000000008</v>
      </c>
      <c r="D51" s="92">
        <f>+D46+D49</f>
        <v>208188.97000000029</v>
      </c>
      <c r="E51" s="90">
        <f>D51-C51</f>
        <v>73498.130000000208</v>
      </c>
      <c r="F51" s="82">
        <f>IFERROR((D51-C51)/ABS(C51),0)</f>
        <v>0.54568024076470356</v>
      </c>
      <c r="G51" s="83">
        <f>IFERROR(C51/'P&amp;L Gerencial'!O6,0)</f>
        <v>6.7249792140571987E-2</v>
      </c>
      <c r="H51" s="83">
        <f>IFERROR(D51/2114576.32,0)</f>
        <v>9.8454223681082517E-2</v>
      </c>
      <c r="I51" s="93" t="s">
        <v>230</v>
      </c>
    </row>
    <row r="52" spans="1:16" ht="15.75" customHeight="1" x14ac:dyDescent="0.35">
      <c r="A52" s="85" t="s">
        <v>253</v>
      </c>
      <c r="B52" s="95">
        <f>IFERROR(B51/B6,0)</f>
        <v>6.7249792140571987E-2</v>
      </c>
      <c r="C52" s="95">
        <f>IFERROR(C51/C6,0)</f>
        <v>6.7249792140571987E-2</v>
      </c>
      <c r="D52" s="95">
        <f>IFERROR(D51/D6,0)</f>
        <v>9.8454224612278249E-2</v>
      </c>
      <c r="E52" s="87">
        <f>IFERROR(D52-B52,0)</f>
        <v>3.1204432471706262E-2</v>
      </c>
      <c r="F52" s="87">
        <f>IFERROR((D52-B52)/ABS(B52),0)</f>
        <v>0.46400786498313262</v>
      </c>
      <c r="G52" s="83">
        <f>IFERROR(C52/'P&amp;L Gerencial'!O6,0)</f>
        <v>3.3577150034479963E-8</v>
      </c>
      <c r="H52" s="83">
        <f>IFERROR(D52/2114576.32,0)</f>
        <v>4.6559787736712315E-8</v>
      </c>
      <c r="I52" s="96" t="s">
        <v>230</v>
      </c>
    </row>
    <row r="54" spans="1:16" ht="19.5" customHeight="1" x14ac:dyDescent="0.35">
      <c r="A54" s="440" t="s">
        <v>254</v>
      </c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  <c r="N54" s="440"/>
      <c r="O54" s="440"/>
      <c r="P54" s="440"/>
    </row>
    <row r="55" spans="1:16" ht="21.75" customHeight="1" x14ac:dyDescent="0.35">
      <c r="A55" s="101" t="s">
        <v>255</v>
      </c>
      <c r="B55" s="102" t="s">
        <v>4</v>
      </c>
      <c r="C55" s="101" t="s">
        <v>5</v>
      </c>
      <c r="D55" s="101" t="s">
        <v>6</v>
      </c>
      <c r="E55" s="101" t="s">
        <v>7</v>
      </c>
      <c r="F55" s="101" t="s">
        <v>8</v>
      </c>
      <c r="G55" s="101" t="s">
        <v>9</v>
      </c>
      <c r="H55" s="101" t="s">
        <v>10</v>
      </c>
      <c r="I55" s="101" t="s">
        <v>11</v>
      </c>
      <c r="J55" s="101" t="s">
        <v>12</v>
      </c>
      <c r="K55" s="101" t="s">
        <v>13</v>
      </c>
      <c r="L55" s="101" t="s">
        <v>14</v>
      </c>
      <c r="M55" s="101" t="s">
        <v>15</v>
      </c>
      <c r="N55" s="101" t="s">
        <v>256</v>
      </c>
    </row>
    <row r="56" spans="1:16" ht="15.75" customHeight="1" x14ac:dyDescent="0.35">
      <c r="A56" s="103" t="s">
        <v>257</v>
      </c>
      <c r="B56" s="300">
        <f>'P&amp;L Gerencial'!C6</f>
        <v>192370.04</v>
      </c>
      <c r="C56" s="300">
        <f>'P&amp;L Gerencial'!D6</f>
        <v>214297.38</v>
      </c>
      <c r="D56" s="300">
        <f>'P&amp;L Gerencial'!E6</f>
        <v>159044.24</v>
      </c>
      <c r="E56" s="300">
        <f>'P&amp;L Gerencial'!F6</f>
        <v>162394.91</v>
      </c>
      <c r="F56" s="300">
        <f>'P&amp;L Gerencial'!G6</f>
        <v>146655.75</v>
      </c>
      <c r="G56" s="300">
        <f>'P&amp;L Gerencial'!H6</f>
        <v>148722.4</v>
      </c>
      <c r="H56" s="300">
        <f>'P&amp;L Gerencial'!I6</f>
        <v>185458.76</v>
      </c>
      <c r="I56" s="300">
        <f>'P&amp;L Gerencial'!J6</f>
        <v>177730.07</v>
      </c>
      <c r="J56" s="300">
        <f>'P&amp;L Gerencial'!K6</f>
        <v>139427.16</v>
      </c>
      <c r="K56" s="300">
        <f>'P&amp;L Gerencial'!L6</f>
        <v>144036.01</v>
      </c>
      <c r="L56" s="300">
        <f>'P&amp;L Gerencial'!M6</f>
        <v>140103.32</v>
      </c>
      <c r="M56" s="300">
        <f>'P&amp;L Gerencial'!N6</f>
        <v>192603.92</v>
      </c>
      <c r="N56" s="105">
        <f>SUM(B56:M56)</f>
        <v>2002843.96</v>
      </c>
    </row>
    <row r="57" spans="1:16" ht="15.75" customHeight="1" x14ac:dyDescent="0.35">
      <c r="A57" s="106" t="s">
        <v>258</v>
      </c>
      <c r="B57" s="301">
        <f>'P&amp;L Gerencial'!C101</f>
        <v>24915.24000000002</v>
      </c>
      <c r="C57" s="301">
        <f>'P&amp;L Gerencial'!D101</f>
        <v>32649.420000000013</v>
      </c>
      <c r="D57" s="301">
        <f>'P&amp;L Gerencial'!E101</f>
        <v>41786.149999999987</v>
      </c>
      <c r="E57" s="301">
        <f>'P&amp;L Gerencial'!F101</f>
        <v>13391.859999999986</v>
      </c>
      <c r="F57" s="301">
        <f>'P&amp;L Gerencial'!G101</f>
        <v>6665.3000000000175</v>
      </c>
      <c r="G57" s="301">
        <f>'P&amp;L Gerencial'!H101</f>
        <v>-6522.320000000007</v>
      </c>
      <c r="H57" s="301">
        <f>'P&amp;L Gerencial'!I101</f>
        <v>19179.989999999983</v>
      </c>
      <c r="I57" s="301">
        <f>'P&amp;L Gerencial'!J101</f>
        <v>30010.350000000013</v>
      </c>
      <c r="J57" s="301">
        <f>'P&amp;L Gerencial'!K101</f>
        <v>-12397.239999999983</v>
      </c>
      <c r="K57" s="301">
        <f>'P&amp;L Gerencial'!L101</f>
        <v>-13120.409999999996</v>
      </c>
      <c r="L57" s="301">
        <f>'P&amp;L Gerencial'!M101</f>
        <v>-7589.2999999999884</v>
      </c>
      <c r="M57" s="301">
        <f>'P&amp;L Gerencial'!N101</f>
        <v>36703.550000000017</v>
      </c>
      <c r="N57" s="108">
        <f>SUM(B57:M57)</f>
        <v>165672.59000000005</v>
      </c>
    </row>
    <row r="58" spans="1:16" ht="15.75" customHeight="1" x14ac:dyDescent="0.35">
      <c r="A58" s="106" t="s">
        <v>259</v>
      </c>
      <c r="B58" s="301">
        <f>IFERROR('P&amp;L Gerencial'!C101/'P&amp;L Gerencial'!C6,0)</f>
        <v>0.12951725746899059</v>
      </c>
      <c r="C58" s="301">
        <f>IFERROR('P&amp;L Gerencial'!D101/'P&amp;L Gerencial'!D6,0)</f>
        <v>0.15235566575755621</v>
      </c>
      <c r="D58" s="301">
        <f>IFERROR('P&amp;L Gerencial'!E101/'P&amp;L Gerencial'!E6,0)</f>
        <v>0.26273287231276021</v>
      </c>
      <c r="E58" s="301">
        <f>IFERROR('P&amp;L Gerencial'!F101/'P&amp;L Gerencial'!F6,0)</f>
        <v>8.2464776759320749E-2</v>
      </c>
      <c r="F58" s="301">
        <f>IFERROR('P&amp;L Gerencial'!G101/'P&amp;L Gerencial'!G6,0)</f>
        <v>4.5448610095410631E-2</v>
      </c>
      <c r="G58" s="301">
        <f>IFERROR('P&amp;L Gerencial'!H101/'P&amp;L Gerencial'!H6,0)</f>
        <v>-4.3855666664873665E-2</v>
      </c>
      <c r="H58" s="301">
        <f>IFERROR('P&amp;L Gerencial'!I101/'P&amp;L Gerencial'!I6,0)</f>
        <v>0.10341916445467436</v>
      </c>
      <c r="I58" s="301">
        <f>IFERROR('P&amp;L Gerencial'!J101/'P&amp;L Gerencial'!J6,0)</f>
        <v>0.16885353165055306</v>
      </c>
      <c r="J58" s="301">
        <f>IFERROR('P&amp;L Gerencial'!K101/'P&amp;L Gerencial'!K6,0)</f>
        <v>-8.8915531235090661E-2</v>
      </c>
      <c r="K58" s="301">
        <f>IFERROR('P&amp;L Gerencial'!L101/'P&amp;L Gerencial'!L6,0)</f>
        <v>-9.1091179212753781E-2</v>
      </c>
      <c r="L58" s="301">
        <f>IFERROR('P&amp;L Gerencial'!M101/'P&amp;L Gerencial'!M6,0)</f>
        <v>-5.4169308764417487E-2</v>
      </c>
      <c r="M58" s="301">
        <f>IFERROR('P&amp;L Gerencial'!N101/'P&amp;L Gerencial'!N6,0)</f>
        <v>0.19056491685112129</v>
      </c>
      <c r="N58" s="110">
        <f>AVERAGE(B58:M58)</f>
        <v>7.144375912277097E-2</v>
      </c>
    </row>
    <row r="59" spans="1:16" ht="15.75" customHeight="1" x14ac:dyDescent="0.35">
      <c r="A59" s="111" t="s">
        <v>260</v>
      </c>
      <c r="B59" s="302">
        <f>'P&amp;L Gerencial'!C24</f>
        <v>48524.7</v>
      </c>
      <c r="C59" s="302">
        <f>'P&amp;L Gerencial'!D24</f>
        <v>45607.68</v>
      </c>
      <c r="D59" s="302">
        <f>'P&amp;L Gerencial'!E24</f>
        <v>29201.41</v>
      </c>
      <c r="E59" s="302">
        <f>'P&amp;L Gerencial'!F24</f>
        <v>47220.97</v>
      </c>
      <c r="F59" s="302">
        <f>'P&amp;L Gerencial'!G24</f>
        <v>42374.71</v>
      </c>
      <c r="G59" s="302">
        <f>'P&amp;L Gerencial'!H24</f>
        <v>40723.419999999991</v>
      </c>
      <c r="H59" s="302">
        <f>'P&amp;L Gerencial'!I24</f>
        <v>42208.210000000006</v>
      </c>
      <c r="I59" s="302">
        <f>'P&amp;L Gerencial'!J24</f>
        <v>40623.040000000001</v>
      </c>
      <c r="J59" s="302">
        <f>'P&amp;L Gerencial'!K24</f>
        <v>57081.299999999996</v>
      </c>
      <c r="K59" s="302">
        <f>'P&amp;L Gerencial'!L24</f>
        <v>38890.379999999997</v>
      </c>
      <c r="L59" s="302">
        <f>'P&amp;L Gerencial'!M24</f>
        <v>42035.439999999988</v>
      </c>
      <c r="M59" s="302">
        <f>'P&amp;L Gerencial'!N24</f>
        <v>40961.650000000009</v>
      </c>
      <c r="N59" s="112">
        <f>SUM(B59:M59)</f>
        <v>515452.91</v>
      </c>
    </row>
    <row r="60" spans="1:16" ht="15.75" customHeight="1" x14ac:dyDescent="0.35">
      <c r="A60" s="111" t="s">
        <v>261</v>
      </c>
      <c r="B60" s="302">
        <f>IFERROR('P&amp;L Gerencial'!C11/'P&amp;L Gerencial'!C6,0)</f>
        <v>0.118285103023319</v>
      </c>
      <c r="C60" s="302">
        <f>IFERROR('P&amp;L Gerencial'!D11/'P&amp;L Gerencial'!D6,0)</f>
        <v>0.11591256971970446</v>
      </c>
      <c r="D60" s="302">
        <f>IFERROR('P&amp;L Gerencial'!E11/'P&amp;L Gerencial'!E6,0)</f>
        <v>0.14589946797193035</v>
      </c>
      <c r="E60" s="302">
        <f>IFERROR('P&amp;L Gerencial'!F11/'P&amp;L Gerencial'!F6,0)</f>
        <v>0.14028752502156625</v>
      </c>
      <c r="F60" s="302">
        <f>IFERROR('P&amp;L Gerencial'!G11/'P&amp;L Gerencial'!G6,0)</f>
        <v>0.13917415443990433</v>
      </c>
      <c r="G60" s="302">
        <f>IFERROR('P&amp;L Gerencial'!H11/'P&amp;L Gerencial'!H6,0)</f>
        <v>0.12623464925256719</v>
      </c>
      <c r="H60" s="302">
        <f>IFERROR('P&amp;L Gerencial'!I11/'P&amp;L Gerencial'!I6,0)</f>
        <v>9.5581411198910199E-2</v>
      </c>
      <c r="I60" s="302">
        <f>IFERROR('P&amp;L Gerencial'!J11/'P&amp;L Gerencial'!J6,0)</f>
        <v>9.6301993241773881E-2</v>
      </c>
      <c r="J60" s="302">
        <f>IFERROR('P&amp;L Gerencial'!K11/'P&amp;L Gerencial'!K6,0)</f>
        <v>0.12757944721817471</v>
      </c>
      <c r="K60" s="302">
        <f>IFERROR('P&amp;L Gerencial'!L11/'P&amp;L Gerencial'!L6,0)</f>
        <v>0.11698532887713287</v>
      </c>
      <c r="L60" s="302">
        <f>IFERROR('P&amp;L Gerencial'!M11/'P&amp;L Gerencial'!M6,0)</f>
        <v>0.12361577156058828</v>
      </c>
      <c r="M60" s="302">
        <f>IFERROR('P&amp;L Gerencial'!N11/'P&amp;L Gerencial'!N6,0)</f>
        <v>9.8584286342666333E-2</v>
      </c>
      <c r="N60" s="113">
        <f>AVERAGE(B60:M60)</f>
        <v>0.12037014232235314</v>
      </c>
    </row>
    <row r="61" spans="1:16" ht="15.75" customHeight="1" x14ac:dyDescent="0.35">
      <c r="A61" s="103" t="s">
        <v>262</v>
      </c>
      <c r="B61" s="300">
        <f>'P&amp;L Gerencial'!C46</f>
        <v>45063.520000000004</v>
      </c>
      <c r="C61" s="300">
        <f>'P&amp;L Gerencial'!D46</f>
        <v>67417.990000000005</v>
      </c>
      <c r="D61" s="300">
        <f>'P&amp;L Gerencial'!E46</f>
        <v>30388.960000000003</v>
      </c>
      <c r="E61" s="300">
        <f>'P&amp;L Gerencial'!F46</f>
        <v>38700.76</v>
      </c>
      <c r="F61" s="300">
        <f>'P&amp;L Gerencial'!G46</f>
        <v>32704.250000000004</v>
      </c>
      <c r="G61" s="300">
        <f>'P&amp;L Gerencial'!H46</f>
        <v>34931.700000000004</v>
      </c>
      <c r="H61" s="300">
        <f>'P&amp;L Gerencial'!I46</f>
        <v>54245.31</v>
      </c>
      <c r="I61" s="300">
        <f>'P&amp;L Gerencial'!J46</f>
        <v>43901.789999999994</v>
      </c>
      <c r="J61" s="300">
        <f>'P&amp;L Gerencial'!K46</f>
        <v>37324.81</v>
      </c>
      <c r="K61" s="300">
        <f>'P&amp;L Gerencial'!L46</f>
        <v>43884.159999999996</v>
      </c>
      <c r="L61" s="300">
        <f>'P&amp;L Gerencial'!M46</f>
        <v>40767.450000000004</v>
      </c>
      <c r="M61" s="300">
        <f>'P&amp;L Gerencial'!N46</f>
        <v>48008.94</v>
      </c>
      <c r="N61" s="105">
        <f>SUM(B61:M61)</f>
        <v>517339.63999999996</v>
      </c>
    </row>
    <row r="62" spans="1:16" ht="15.75" customHeight="1" x14ac:dyDescent="0.35">
      <c r="A62" s="85" t="s">
        <v>263</v>
      </c>
      <c r="B62" s="303">
        <f>'P&amp;L Gerencial'!C84</f>
        <v>50842.5</v>
      </c>
      <c r="C62" s="303">
        <f>'P&amp;L Gerencial'!D84</f>
        <v>49882.5</v>
      </c>
      <c r="D62" s="303">
        <f>'P&amp;L Gerencial'!E84</f>
        <v>49477.5</v>
      </c>
      <c r="E62" s="303">
        <f>'P&amp;L Gerencial'!F84</f>
        <v>50449.5</v>
      </c>
      <c r="F62" s="303">
        <f>'P&amp;L Gerencial'!G84</f>
        <v>49896</v>
      </c>
      <c r="G62" s="303">
        <f>'P&amp;L Gerencial'!H84</f>
        <v>48586.5</v>
      </c>
      <c r="H62" s="303">
        <f>'P&amp;L Gerencial'!I84</f>
        <v>48168</v>
      </c>
      <c r="I62" s="303">
        <f>'P&amp;L Gerencial'!J84</f>
        <v>48505.5</v>
      </c>
      <c r="J62" s="303">
        <f>'P&amp;L Gerencial'!K84</f>
        <v>48019.5</v>
      </c>
      <c r="K62" s="303">
        <f>'P&amp;L Gerencial'!L84</f>
        <v>46534.5</v>
      </c>
      <c r="L62" s="303">
        <f>'P&amp;L Gerencial'!M84</f>
        <v>46737</v>
      </c>
      <c r="M62" s="303">
        <f>'P&amp;L Gerencial'!N84</f>
        <v>46443.5</v>
      </c>
      <c r="N62" s="114">
        <f>SUM(B62:M62)</f>
        <v>583542.5</v>
      </c>
    </row>
    <row r="63" spans="1:16" ht="15.75" customHeight="1" x14ac:dyDescent="0.35">
      <c r="A63" s="85" t="s">
        <v>264</v>
      </c>
      <c r="B63" s="303">
        <f>'P&amp;L Gerencial'!C123</f>
        <v>15058.680000000022</v>
      </c>
      <c r="C63" s="303">
        <f>'P&amp;L Gerencial'!D123</f>
        <v>27637.130000000012</v>
      </c>
      <c r="D63" s="303">
        <f>'P&amp;L Gerencial'!E123</f>
        <v>41778.87999999999</v>
      </c>
      <c r="E63" s="303">
        <f>'P&amp;L Gerencial'!F123</f>
        <v>12383.869999999986</v>
      </c>
      <c r="F63" s="303">
        <f>'P&amp;L Gerencial'!G123</f>
        <v>5587.030000000017</v>
      </c>
      <c r="G63" s="303">
        <f>'P&amp;L Gerencial'!H123</f>
        <v>-7763.6900000000069</v>
      </c>
      <c r="H63" s="303">
        <f>'P&amp;L Gerencial'!I123</f>
        <v>17363.249999999982</v>
      </c>
      <c r="I63" s="303">
        <f>'P&amp;L Gerencial'!J123</f>
        <v>28877.290000000012</v>
      </c>
      <c r="J63" s="303">
        <f>'P&amp;L Gerencial'!K123</f>
        <v>-13622.779999999984</v>
      </c>
      <c r="K63" s="303">
        <f>'P&amp;L Gerencial'!L123</f>
        <v>-15063.909999999996</v>
      </c>
      <c r="L63" s="303">
        <f>'P&amp;L Gerencial'!M123</f>
        <v>-9433.7899999999881</v>
      </c>
      <c r="M63" s="303">
        <f>'P&amp;L Gerencial'!N123</f>
        <v>31888.880000000016</v>
      </c>
      <c r="N63" s="114">
        <f>SUM(B63:M63)</f>
        <v>134690.84000000008</v>
      </c>
    </row>
  </sheetData>
  <mergeCells count="12">
    <mergeCell ref="A1:S1"/>
    <mergeCell ref="A2:S2"/>
    <mergeCell ref="A3:S3"/>
    <mergeCell ref="A5:I5"/>
    <mergeCell ref="A8:I8"/>
    <mergeCell ref="A48:I48"/>
    <mergeCell ref="A54:P54"/>
    <mergeCell ref="A17:I17"/>
    <mergeCell ref="A23:I23"/>
    <mergeCell ref="A29:I29"/>
    <mergeCell ref="A35:I35"/>
    <mergeCell ref="A44:I4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5C"/>
  </sheetPr>
  <dimension ref="A1:O59"/>
  <sheetViews>
    <sheetView showGridLines="0" zoomScaleNormal="100" workbookViewId="0">
      <pane xSplit="1" ySplit="4" topLeftCell="B46" activePane="bottomRight" state="frozen"/>
      <selection pane="topRight" activeCell="C1" sqref="C1"/>
      <selection pane="bottomLeft" activeCell="A10" sqref="A10"/>
      <selection pane="bottomRight" activeCell="A52" sqref="A52"/>
    </sheetView>
  </sheetViews>
  <sheetFormatPr baseColWidth="10" defaultColWidth="8.6328125" defaultRowHeight="14.5" x14ac:dyDescent="0.35"/>
  <cols>
    <col min="1" max="1" width="44" customWidth="1"/>
    <col min="2" max="13" width="9.54296875" customWidth="1"/>
    <col min="14" max="14" width="9.54296875" hidden="1" customWidth="1"/>
    <col min="15" max="15" width="13" customWidth="1"/>
  </cols>
  <sheetData>
    <row r="1" spans="1:15" ht="30" customHeight="1" x14ac:dyDescent="0.35">
      <c r="A1" s="451" t="s">
        <v>265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</row>
    <row r="2" spans="1:15" ht="13.5" customHeight="1" x14ac:dyDescent="0.35">
      <c r="A2" s="452" t="s">
        <v>266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</row>
    <row r="3" spans="1:15" ht="7.5" customHeight="1" x14ac:dyDescent="0.35">
      <c r="A3" s="331"/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</row>
    <row r="4" spans="1:15" ht="21.75" customHeight="1" x14ac:dyDescent="0.35">
      <c r="A4" s="330" t="s">
        <v>267</v>
      </c>
      <c r="B4" s="330" t="s">
        <v>4</v>
      </c>
      <c r="C4" s="330" t="s">
        <v>5</v>
      </c>
      <c r="D4" s="330" t="s">
        <v>6</v>
      </c>
      <c r="E4" s="330" t="s">
        <v>7</v>
      </c>
      <c r="F4" s="330" t="s">
        <v>8</v>
      </c>
      <c r="G4" s="330" t="s">
        <v>9</v>
      </c>
      <c r="H4" s="330" t="s">
        <v>10</v>
      </c>
      <c r="I4" s="330" t="s">
        <v>11</v>
      </c>
      <c r="J4" s="330" t="s">
        <v>12</v>
      </c>
      <c r="K4" s="330" t="s">
        <v>13</v>
      </c>
      <c r="L4" s="330" t="s">
        <v>14</v>
      </c>
      <c r="M4" s="330" t="s">
        <v>15</v>
      </c>
      <c r="N4" s="330" t="s">
        <v>268</v>
      </c>
      <c r="O4" s="330" t="s">
        <v>268</v>
      </c>
    </row>
    <row r="5" spans="1:15" ht="19.5" customHeight="1" x14ac:dyDescent="0.35">
      <c r="A5" s="453" t="s">
        <v>269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</row>
    <row r="6" spans="1:15" ht="15.75" customHeight="1" x14ac:dyDescent="0.35">
      <c r="A6" s="332" t="s">
        <v>270</v>
      </c>
      <c r="B6" s="332" t="s">
        <v>271</v>
      </c>
      <c r="C6" s="332" t="s">
        <v>272</v>
      </c>
      <c r="D6" s="332" t="s">
        <v>273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</row>
    <row r="7" spans="1:15" ht="15" customHeight="1" x14ac:dyDescent="0.35">
      <c r="A7" s="116" t="s">
        <v>274</v>
      </c>
      <c r="B7" s="117" t="s">
        <v>275</v>
      </c>
      <c r="C7" s="118" t="s">
        <v>276</v>
      </c>
      <c r="D7" s="119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8" spans="1:15" ht="15" customHeight="1" x14ac:dyDescent="0.35">
      <c r="A8" s="116" t="s">
        <v>277</v>
      </c>
      <c r="B8" s="117" t="s">
        <v>278</v>
      </c>
      <c r="C8" s="118" t="s">
        <v>279</v>
      </c>
      <c r="D8" s="119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1:15" ht="15" customHeight="1" x14ac:dyDescent="0.35">
      <c r="A9" s="116" t="s">
        <v>280</v>
      </c>
      <c r="B9" s="117" t="s">
        <v>281</v>
      </c>
      <c r="C9" s="118" t="s">
        <v>282</v>
      </c>
      <c r="D9" s="119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</row>
    <row r="10" spans="1:15" ht="15" customHeight="1" x14ac:dyDescent="0.35">
      <c r="A10" s="116" t="s">
        <v>283</v>
      </c>
      <c r="B10" s="117" t="s">
        <v>284</v>
      </c>
      <c r="C10" s="118" t="s">
        <v>285</v>
      </c>
      <c r="D10" s="119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</row>
    <row r="11" spans="1:15" ht="15" customHeight="1" x14ac:dyDescent="0.35">
      <c r="A11" s="116" t="s">
        <v>286</v>
      </c>
      <c r="B11" s="117" t="s">
        <v>287</v>
      </c>
      <c r="C11" s="118" t="s">
        <v>288</v>
      </c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</row>
    <row r="12" spans="1:15" ht="6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5" customHeight="1" x14ac:dyDescent="0.35">
      <c r="A13" s="454" t="s">
        <v>289</v>
      </c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  <c r="O13" s="454"/>
    </row>
    <row r="14" spans="1:15" ht="18" customHeight="1" x14ac:dyDescent="0.35">
      <c r="A14" s="121" t="s">
        <v>290</v>
      </c>
      <c r="B14" s="122">
        <v>41.51</v>
      </c>
      <c r="C14" s="122">
        <v>41.51</v>
      </c>
      <c r="D14" s="122">
        <v>41.51</v>
      </c>
      <c r="E14" s="122">
        <v>41.51</v>
      </c>
      <c r="F14" s="122">
        <v>41.51</v>
      </c>
      <c r="G14" s="122">
        <v>41.51</v>
      </c>
      <c r="H14" s="122">
        <v>41.51</v>
      </c>
      <c r="I14" s="122">
        <v>41.51</v>
      </c>
      <c r="J14" s="122">
        <v>41.51</v>
      </c>
      <c r="K14" s="122">
        <v>41.51</v>
      </c>
      <c r="L14" s="122">
        <v>41.51</v>
      </c>
      <c r="M14" s="122">
        <v>41.51</v>
      </c>
      <c r="O14" s="389">
        <f>SUM(B14:N14)</f>
        <v>498.11999999999995</v>
      </c>
    </row>
    <row r="15" spans="1:15" ht="18" customHeight="1" thickBot="1" x14ac:dyDescent="0.4">
      <c r="A15" s="121" t="s">
        <v>291</v>
      </c>
      <c r="B15" s="123">
        <v>4634</v>
      </c>
      <c r="C15" s="124">
        <v>5162</v>
      </c>
      <c r="D15" s="123">
        <v>3831</v>
      </c>
      <c r="E15" s="123">
        <v>3912</v>
      </c>
      <c r="F15" s="123">
        <v>3533</v>
      </c>
      <c r="G15" s="123">
        <v>3583</v>
      </c>
      <c r="H15" s="123">
        <v>4468</v>
      </c>
      <c r="I15" s="123">
        <v>4282</v>
      </c>
      <c r="J15" s="123">
        <v>3359</v>
      </c>
      <c r="K15" s="123">
        <v>3470</v>
      </c>
      <c r="L15" s="123">
        <v>3375</v>
      </c>
      <c r="M15" s="123">
        <v>4640</v>
      </c>
      <c r="O15" s="390">
        <f>SUM(B15:N15)</f>
        <v>48249</v>
      </c>
    </row>
    <row r="16" spans="1:15" ht="12.75" hidden="1" customHeight="1" x14ac:dyDescent="0.35">
      <c r="C16" s="125" t="s">
        <v>292</v>
      </c>
      <c r="O16" s="311"/>
    </row>
    <row r="17" spans="1:15" ht="16.5" customHeight="1" x14ac:dyDescent="0.35">
      <c r="A17" s="333" t="s">
        <v>293</v>
      </c>
      <c r="B17" s="334">
        <f t="shared" ref="B17:M17" si="0">B15*B14</f>
        <v>192357.34</v>
      </c>
      <c r="C17" s="334">
        <f t="shared" si="0"/>
        <v>214274.62</v>
      </c>
      <c r="D17" s="334">
        <f t="shared" si="0"/>
        <v>159024.81</v>
      </c>
      <c r="E17" s="334">
        <f t="shared" si="0"/>
        <v>162387.12</v>
      </c>
      <c r="F17" s="334">
        <f t="shared" si="0"/>
        <v>146654.82999999999</v>
      </c>
      <c r="G17" s="334">
        <f t="shared" si="0"/>
        <v>148730.32999999999</v>
      </c>
      <c r="H17" s="334">
        <f t="shared" si="0"/>
        <v>185466.68</v>
      </c>
      <c r="I17" s="334">
        <f t="shared" si="0"/>
        <v>177745.81999999998</v>
      </c>
      <c r="J17" s="334">
        <f t="shared" si="0"/>
        <v>139432.09</v>
      </c>
      <c r="K17" s="334">
        <f t="shared" si="0"/>
        <v>144039.69999999998</v>
      </c>
      <c r="L17" s="334">
        <f t="shared" si="0"/>
        <v>140096.25</v>
      </c>
      <c r="M17" s="334">
        <f t="shared" si="0"/>
        <v>192606.4</v>
      </c>
      <c r="O17" s="391">
        <f>SUM(B17:N17)</f>
        <v>2002815.99</v>
      </c>
    </row>
    <row r="18" spans="1:15" ht="16.5" customHeight="1" x14ac:dyDescent="0.35">
      <c r="A18" s="335" t="s">
        <v>294</v>
      </c>
      <c r="B18" s="336">
        <f>'P&amp;L Gerencial'!C6</f>
        <v>192370.04</v>
      </c>
      <c r="C18" s="336">
        <f>'P&amp;L Gerencial'!D6</f>
        <v>214297.38</v>
      </c>
      <c r="D18" s="336">
        <f>'P&amp;L Gerencial'!E6</f>
        <v>159044.24</v>
      </c>
      <c r="E18" s="336">
        <f>'P&amp;L Gerencial'!F6</f>
        <v>162394.91</v>
      </c>
      <c r="F18" s="336">
        <f>'P&amp;L Gerencial'!G6</f>
        <v>146655.75</v>
      </c>
      <c r="G18" s="336">
        <f>'P&amp;L Gerencial'!H6</f>
        <v>148722.4</v>
      </c>
      <c r="H18" s="336">
        <f>'P&amp;L Gerencial'!I6</f>
        <v>185458.76</v>
      </c>
      <c r="I18" s="336">
        <f>'P&amp;L Gerencial'!J6</f>
        <v>177730.07</v>
      </c>
      <c r="J18" s="336">
        <f>'P&amp;L Gerencial'!K6</f>
        <v>139427.16</v>
      </c>
      <c r="K18" s="336">
        <f>'P&amp;L Gerencial'!L6</f>
        <v>144036.01</v>
      </c>
      <c r="L18" s="336">
        <f>'P&amp;L Gerencial'!M6</f>
        <v>140103.32</v>
      </c>
      <c r="M18" s="336">
        <f>'P&amp;L Gerencial'!N6</f>
        <v>192603.92</v>
      </c>
      <c r="O18" s="336">
        <f>SUM(B18:N18)</f>
        <v>2002843.96</v>
      </c>
    </row>
    <row r="19" spans="1:15" ht="6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5" customHeight="1" x14ac:dyDescent="0.35">
      <c r="A20" s="448" t="s">
        <v>295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 ht="14.25" customHeight="1" x14ac:dyDescent="0.35">
      <c r="A21" s="449" t="s">
        <v>296</v>
      </c>
      <c r="B21" s="449"/>
      <c r="C21" s="449"/>
      <c r="D21" s="449"/>
      <c r="E21" s="449"/>
      <c r="F21" s="449"/>
      <c r="G21" s="449"/>
      <c r="H21" s="449"/>
      <c r="I21" s="449"/>
      <c r="J21" s="449"/>
      <c r="K21" s="449"/>
      <c r="L21" s="449"/>
      <c r="M21" s="449"/>
      <c r="N21" s="449"/>
      <c r="O21" s="449"/>
    </row>
    <row r="22" spans="1:15" ht="18" customHeight="1" x14ac:dyDescent="0.35">
      <c r="A22" s="121" t="s">
        <v>297</v>
      </c>
      <c r="B22" s="122">
        <v>299.5</v>
      </c>
      <c r="C22" s="122">
        <v>271.39999999999998</v>
      </c>
      <c r="D22" s="122">
        <v>301</v>
      </c>
      <c r="E22" s="122">
        <v>288</v>
      </c>
      <c r="F22" s="122">
        <v>304.39999999999998</v>
      </c>
      <c r="G22" s="122">
        <v>289.5</v>
      </c>
      <c r="H22" s="122">
        <v>298</v>
      </c>
      <c r="I22" s="122">
        <v>305.89999999999998</v>
      </c>
      <c r="J22" s="122">
        <v>288</v>
      </c>
      <c r="K22" s="122">
        <v>299.5</v>
      </c>
      <c r="L22" s="122">
        <v>294.39999999999998</v>
      </c>
      <c r="M22" s="122">
        <v>294.7</v>
      </c>
      <c r="O22" s="389">
        <f>SUM(B22:N22)</f>
        <v>3534.3</v>
      </c>
    </row>
    <row r="23" spans="1:15" ht="18" customHeight="1" thickBot="1" x14ac:dyDescent="0.4">
      <c r="A23" s="121" t="s">
        <v>298</v>
      </c>
      <c r="B23" s="123">
        <v>40</v>
      </c>
      <c r="C23" s="123">
        <v>40</v>
      </c>
      <c r="D23" s="123">
        <v>40</v>
      </c>
      <c r="E23" s="123">
        <v>40</v>
      </c>
      <c r="F23" s="123">
        <v>40</v>
      </c>
      <c r="G23" s="123">
        <v>40</v>
      </c>
      <c r="H23" s="123">
        <v>40</v>
      </c>
      <c r="I23" s="123">
        <v>40</v>
      </c>
      <c r="J23" s="123">
        <v>40</v>
      </c>
      <c r="K23" s="123">
        <v>40</v>
      </c>
      <c r="L23" s="123">
        <v>40</v>
      </c>
      <c r="M23" s="123">
        <v>40</v>
      </c>
      <c r="O23" s="390">
        <f>SUM(B23:N23)</f>
        <v>480</v>
      </c>
    </row>
    <row r="24" spans="1:15" ht="18" customHeight="1" x14ac:dyDescent="0.35">
      <c r="A24" s="127" t="s">
        <v>299</v>
      </c>
      <c r="B24" s="337">
        <f>IFERROR((Simulador!B16*(25/60)+Simulador!B17*(55/60))/(Simulador!B16+Simulador!B17),25/60)</f>
        <v>0.54665504326488434</v>
      </c>
      <c r="C24" s="337">
        <f>IFERROR((Simulador!B16*(25/60)+Simulador!B17*(55/60))/(Simulador!B16+Simulador!B17),25/60)</f>
        <v>0.54665504326488434</v>
      </c>
      <c r="D24" s="337">
        <f>IFERROR((Simulador!B16*(25/60)+Simulador!B17*(55/60))/(Simulador!B16+Simulador!B17),25/60)</f>
        <v>0.54665504326488434</v>
      </c>
      <c r="E24" s="337">
        <f>IFERROR((Simulador!B16*(25/60)+Simulador!B17*(55/60))/(Simulador!B16+Simulador!B17),25/60)</f>
        <v>0.54665504326488434</v>
      </c>
      <c r="F24" s="337">
        <f>IFERROR((Simulador!B16*(25/60)+Simulador!B17*(55/60))/(Simulador!B16+Simulador!B17),25/60)</f>
        <v>0.54665504326488434</v>
      </c>
      <c r="G24" s="337">
        <f>IFERROR((Simulador!B16*(25/60)+Simulador!B17*(55/60))/(Simulador!B16+Simulador!B17),25/60)</f>
        <v>0.54665504326488434</v>
      </c>
      <c r="H24" s="337">
        <f>IFERROR((Simulador!B16*(25/60)+Simulador!B17*(55/60))/(Simulador!B16+Simulador!B17),25/60)</f>
        <v>0.54665504326488434</v>
      </c>
      <c r="I24" s="337">
        <f>IFERROR((Simulador!B16*(25/60)+Simulador!B17*(55/60))/(Simulador!B16+Simulador!B17),25/60)</f>
        <v>0.54665504326488434</v>
      </c>
      <c r="J24" s="337">
        <f>IFERROR((Simulador!B16*(25/60)+Simulador!B17*(55/60))/(Simulador!B16+Simulador!B17),25/60)</f>
        <v>0.54665504326488434</v>
      </c>
      <c r="K24" s="337">
        <f>IFERROR((Simulador!B16*(25/60)+Simulador!B17*(55/60))/(Simulador!B16+Simulador!B17),25/60)</f>
        <v>0.54665504326488434</v>
      </c>
      <c r="L24" s="337">
        <f>IFERROR((Simulador!B16*(25/60)+Simulador!B17*(55/60))/(Simulador!B16+Simulador!B17),25/60)</f>
        <v>0.54665504326488434</v>
      </c>
      <c r="M24" s="337">
        <f>IFERROR((Simulador!B16*(25/60)+Simulador!B17*(55/60))/(Simulador!B16+Simulador!B17),25/60)</f>
        <v>0.54665504326488434</v>
      </c>
      <c r="O24" s="392">
        <f>AVERAGE(B24:N24)</f>
        <v>0.54665504326488434</v>
      </c>
    </row>
    <row r="25" spans="1:15" ht="16.5" customHeight="1" x14ac:dyDescent="0.35">
      <c r="A25" s="338" t="s">
        <v>300</v>
      </c>
      <c r="B25" s="339">
        <f t="shared" ref="B25:M25" si="1">B22*B23</f>
        <v>11980</v>
      </c>
      <c r="C25" s="339">
        <f t="shared" si="1"/>
        <v>10856</v>
      </c>
      <c r="D25" s="339">
        <f t="shared" si="1"/>
        <v>12040</v>
      </c>
      <c r="E25" s="339">
        <f t="shared" si="1"/>
        <v>11520</v>
      </c>
      <c r="F25" s="339">
        <f t="shared" si="1"/>
        <v>12176</v>
      </c>
      <c r="G25" s="339">
        <f t="shared" si="1"/>
        <v>11580</v>
      </c>
      <c r="H25" s="339">
        <f t="shared" si="1"/>
        <v>11920</v>
      </c>
      <c r="I25" s="339">
        <f t="shared" si="1"/>
        <v>12236</v>
      </c>
      <c r="J25" s="339">
        <f t="shared" si="1"/>
        <v>11520</v>
      </c>
      <c r="K25" s="339">
        <f t="shared" si="1"/>
        <v>11980</v>
      </c>
      <c r="L25" s="339">
        <f t="shared" si="1"/>
        <v>11776</v>
      </c>
      <c r="M25" s="339">
        <f t="shared" si="1"/>
        <v>11788</v>
      </c>
      <c r="O25" s="393">
        <f>SUM(B25:N25)</f>
        <v>141372</v>
      </c>
    </row>
    <row r="26" spans="1:15" ht="16.5" customHeight="1" x14ac:dyDescent="0.35">
      <c r="A26" s="333" t="s">
        <v>301</v>
      </c>
      <c r="B26" s="340">
        <f t="shared" ref="B26:M26" si="2">B15*B24</f>
        <v>2533.1994704894742</v>
      </c>
      <c r="C26" s="340">
        <f t="shared" si="2"/>
        <v>2821.833333333333</v>
      </c>
      <c r="D26" s="340">
        <f t="shared" si="2"/>
        <v>2094.2354707477721</v>
      </c>
      <c r="E26" s="340">
        <f t="shared" si="2"/>
        <v>2138.5145292522275</v>
      </c>
      <c r="F26" s="340">
        <f t="shared" si="2"/>
        <v>1931.3322678548363</v>
      </c>
      <c r="G26" s="340">
        <f t="shared" si="2"/>
        <v>1958.6650200180807</v>
      </c>
      <c r="H26" s="340">
        <f t="shared" si="2"/>
        <v>2442.4547333075034</v>
      </c>
      <c r="I26" s="340">
        <f t="shared" si="2"/>
        <v>2340.7768952602346</v>
      </c>
      <c r="J26" s="340">
        <f t="shared" si="2"/>
        <v>1836.2142903267465</v>
      </c>
      <c r="K26" s="340">
        <f t="shared" si="2"/>
        <v>1896.8930001291487</v>
      </c>
      <c r="L26" s="340">
        <f t="shared" si="2"/>
        <v>1844.9607710189846</v>
      </c>
      <c r="M26" s="340">
        <f t="shared" si="2"/>
        <v>2536.4794007490632</v>
      </c>
      <c r="O26" s="370">
        <f>SUM(B26:N26)</f>
        <v>26375.559182487403</v>
      </c>
    </row>
    <row r="27" spans="1:15" ht="16.5" customHeight="1" x14ac:dyDescent="0.35">
      <c r="A27" s="341" t="s">
        <v>302</v>
      </c>
      <c r="B27" s="342">
        <f t="shared" ref="B27:M27" si="3">IFERROR(B26/B25,0)</f>
        <v>0.21145237650162554</v>
      </c>
      <c r="C27" s="342">
        <f t="shared" si="3"/>
        <v>0.25993306312945219</v>
      </c>
      <c r="D27" s="342">
        <f t="shared" si="3"/>
        <v>0.17393982315180831</v>
      </c>
      <c r="E27" s="342">
        <f t="shared" si="3"/>
        <v>0.18563494177536696</v>
      </c>
      <c r="F27" s="342">
        <f t="shared" si="3"/>
        <v>0.15861795892368893</v>
      </c>
      <c r="G27" s="342">
        <f t="shared" si="3"/>
        <v>0.16914205699638002</v>
      </c>
      <c r="H27" s="342">
        <f t="shared" si="3"/>
        <v>0.20490392057948853</v>
      </c>
      <c r="I27" s="342">
        <f t="shared" si="3"/>
        <v>0.19130245956687109</v>
      </c>
      <c r="J27" s="342">
        <f t="shared" si="3"/>
        <v>0.15939360159086341</v>
      </c>
      <c r="K27" s="342">
        <f t="shared" si="3"/>
        <v>0.15833831386720773</v>
      </c>
      <c r="L27" s="342">
        <f t="shared" si="3"/>
        <v>0.1566712611259328</v>
      </c>
      <c r="M27" s="342">
        <f t="shared" si="3"/>
        <v>0.21517470315143053</v>
      </c>
      <c r="O27" s="369">
        <f>AVERAGE(B27:N27)</f>
        <v>0.18704204003000968</v>
      </c>
    </row>
    <row r="28" spans="1:15" ht="16.5" customHeight="1" x14ac:dyDescent="0.35">
      <c r="A28" s="343" t="s">
        <v>303</v>
      </c>
      <c r="B28" s="344">
        <f t="shared" ref="B28:M28" si="4">IFERROR(B26/B22,0)</f>
        <v>8.4580950600650215</v>
      </c>
      <c r="C28" s="344">
        <f t="shared" si="4"/>
        <v>10.397322525178089</v>
      </c>
      <c r="D28" s="344">
        <f t="shared" si="4"/>
        <v>6.9575929260723326</v>
      </c>
      <c r="E28" s="344">
        <f t="shared" si="4"/>
        <v>7.4253976710146787</v>
      </c>
      <c r="F28" s="344">
        <f t="shared" si="4"/>
        <v>6.3447183569475571</v>
      </c>
      <c r="G28" s="344">
        <f t="shared" si="4"/>
        <v>6.7656822798552012</v>
      </c>
      <c r="H28" s="344">
        <f t="shared" si="4"/>
        <v>8.1961568231795408</v>
      </c>
      <c r="I28" s="344">
        <f t="shared" si="4"/>
        <v>7.6520983826748443</v>
      </c>
      <c r="J28" s="344">
        <f t="shared" si="4"/>
        <v>6.3757440636345368</v>
      </c>
      <c r="K28" s="344">
        <f t="shared" si="4"/>
        <v>6.3335325546883094</v>
      </c>
      <c r="L28" s="344">
        <f t="shared" si="4"/>
        <v>6.2668504450373126</v>
      </c>
      <c r="M28" s="344">
        <f t="shared" si="4"/>
        <v>8.6069881260572227</v>
      </c>
      <c r="O28" s="372">
        <f>AVERAGE(B28:N28)</f>
        <v>7.4816816012003855</v>
      </c>
    </row>
    <row r="29" spans="1:15" ht="16.5" customHeight="1" x14ac:dyDescent="0.35">
      <c r="A29" s="333" t="s">
        <v>304</v>
      </c>
      <c r="B29" s="340">
        <f t="shared" ref="B29:M29" si="5">IFERROR(B15/B22,0)</f>
        <v>15.472454090150251</v>
      </c>
      <c r="C29" s="340">
        <f t="shared" si="5"/>
        <v>19.019896831245397</v>
      </c>
      <c r="D29" s="340">
        <f t="shared" si="5"/>
        <v>12.727574750830565</v>
      </c>
      <c r="E29" s="340">
        <f t="shared" si="5"/>
        <v>13.583333333333334</v>
      </c>
      <c r="F29" s="340">
        <f t="shared" si="5"/>
        <v>11.606438896189225</v>
      </c>
      <c r="G29" s="340">
        <f t="shared" si="5"/>
        <v>12.376511226252159</v>
      </c>
      <c r="H29" s="340">
        <f t="shared" si="5"/>
        <v>14.993288590604028</v>
      </c>
      <c r="I29" s="340">
        <f t="shared" si="5"/>
        <v>13.998038574697615</v>
      </c>
      <c r="J29" s="340">
        <f t="shared" si="5"/>
        <v>11.663194444444445</v>
      </c>
      <c r="K29" s="340">
        <f t="shared" si="5"/>
        <v>11.585976627712855</v>
      </c>
      <c r="L29" s="340">
        <f t="shared" si="5"/>
        <v>11.463994565217392</v>
      </c>
      <c r="M29" s="340">
        <f t="shared" si="5"/>
        <v>15.744825246012896</v>
      </c>
      <c r="O29" s="370">
        <f>AVERAGE(B29:N29)</f>
        <v>13.68629393139085</v>
      </c>
    </row>
    <row r="30" spans="1:15" ht="6" customHeight="1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5" customHeight="1" x14ac:dyDescent="0.35">
      <c r="A31" s="444" t="s">
        <v>305</v>
      </c>
      <c r="B31" s="444"/>
      <c r="C31" s="444"/>
      <c r="D31" s="444"/>
      <c r="E31" s="444"/>
      <c r="F31" s="444"/>
      <c r="G31" s="444"/>
      <c r="H31" s="444"/>
      <c r="I31" s="444"/>
      <c r="J31" s="444"/>
      <c r="K31" s="444"/>
      <c r="L31" s="444"/>
      <c r="M31" s="444"/>
      <c r="N31" s="444"/>
      <c r="O31" s="444"/>
    </row>
    <row r="32" spans="1:15" ht="16.5" customHeight="1" x14ac:dyDescent="0.35">
      <c r="A32" s="343" t="s">
        <v>306</v>
      </c>
      <c r="B32" s="345">
        <f>'P&amp;L Gerencial'!C24</f>
        <v>48524.7</v>
      </c>
      <c r="C32" s="345">
        <f>'P&amp;L Gerencial'!D24</f>
        <v>45607.68</v>
      </c>
      <c r="D32" s="345">
        <f>'P&amp;L Gerencial'!E24</f>
        <v>29201.41</v>
      </c>
      <c r="E32" s="345">
        <f>'P&amp;L Gerencial'!F24</f>
        <v>47220.97</v>
      </c>
      <c r="F32" s="345">
        <f>'P&amp;L Gerencial'!G24</f>
        <v>42374.71</v>
      </c>
      <c r="G32" s="345">
        <f>'P&amp;L Gerencial'!H24</f>
        <v>40723.419999999991</v>
      </c>
      <c r="H32" s="345">
        <f>'P&amp;L Gerencial'!I24</f>
        <v>42208.210000000006</v>
      </c>
      <c r="I32" s="345">
        <f>'P&amp;L Gerencial'!J24</f>
        <v>40623.040000000001</v>
      </c>
      <c r="J32" s="345">
        <f>'P&amp;L Gerencial'!K24</f>
        <v>57081.299999999996</v>
      </c>
      <c r="K32" s="345">
        <f>'P&amp;L Gerencial'!L24</f>
        <v>38890.379999999997</v>
      </c>
      <c r="L32" s="345">
        <f>'P&amp;L Gerencial'!M24</f>
        <v>42035.439999999988</v>
      </c>
      <c r="M32" s="345">
        <f>'P&amp;L Gerencial'!N24</f>
        <v>40961.650000000009</v>
      </c>
      <c r="O32" s="394">
        <f>SUM(B32:N32)</f>
        <v>515452.91</v>
      </c>
    </row>
    <row r="33" spans="1:15" ht="16.5" customHeight="1" x14ac:dyDescent="0.35">
      <c r="A33" s="333" t="s">
        <v>307</v>
      </c>
      <c r="B33" s="346">
        <f>'P&amp;L Gerencial'!C46</f>
        <v>45063.520000000004</v>
      </c>
      <c r="C33" s="346">
        <f>'P&amp;L Gerencial'!D46</f>
        <v>67417.990000000005</v>
      </c>
      <c r="D33" s="346">
        <f>'P&amp;L Gerencial'!E46</f>
        <v>30388.960000000003</v>
      </c>
      <c r="E33" s="346">
        <f>'P&amp;L Gerencial'!F46</f>
        <v>38700.76</v>
      </c>
      <c r="F33" s="346">
        <f>'P&amp;L Gerencial'!G46</f>
        <v>32704.250000000004</v>
      </c>
      <c r="G33" s="346">
        <f>'P&amp;L Gerencial'!H46</f>
        <v>34931.700000000004</v>
      </c>
      <c r="H33" s="346">
        <f>'P&amp;L Gerencial'!I46</f>
        <v>54245.31</v>
      </c>
      <c r="I33" s="346">
        <f>'P&amp;L Gerencial'!J46</f>
        <v>43901.789999999994</v>
      </c>
      <c r="J33" s="346">
        <f>'P&amp;L Gerencial'!K46</f>
        <v>37324.81</v>
      </c>
      <c r="K33" s="346">
        <f>'P&amp;L Gerencial'!L46</f>
        <v>43884.159999999996</v>
      </c>
      <c r="L33" s="346">
        <f>'P&amp;L Gerencial'!M46</f>
        <v>40767.450000000004</v>
      </c>
      <c r="M33" s="346">
        <f>'P&amp;L Gerencial'!N46</f>
        <v>48008.94</v>
      </c>
      <c r="O33" s="395">
        <f>SUM(B33:N33)</f>
        <v>517339.63999999996</v>
      </c>
    </row>
    <row r="34" spans="1:15" ht="16.5" customHeight="1" x14ac:dyDescent="0.35">
      <c r="A34" s="347" t="s">
        <v>308</v>
      </c>
      <c r="B34" s="348">
        <f>'P&amp;L Gerencial'!C24+'P&amp;L Gerencial'!C46+'P&amp;L Gerencial'!C57+'P&amp;L Gerencial'!C81+'P&amp;L Gerencial'!C99</f>
        <v>167454.79999999999</v>
      </c>
      <c r="C34" s="348">
        <f>'P&amp;L Gerencial'!D24+'P&amp;L Gerencial'!D46+'P&amp;L Gerencial'!D57+'P&amp;L Gerencial'!D81+'P&amp;L Gerencial'!D99</f>
        <v>181647.96000000002</v>
      </c>
      <c r="D34" s="348">
        <f>'P&amp;L Gerencial'!E24+'P&amp;L Gerencial'!E46+'P&amp;L Gerencial'!E57+'P&amp;L Gerencial'!E81+'P&amp;L Gerencial'!E99</f>
        <v>117258.09</v>
      </c>
      <c r="E34" s="348">
        <f>'P&amp;L Gerencial'!F24+'P&amp;L Gerencial'!F46+'P&amp;L Gerencial'!F57+'P&amp;L Gerencial'!F81+'P&amp;L Gerencial'!F99</f>
        <v>149003.05000000002</v>
      </c>
      <c r="F34" s="348">
        <f>'P&amp;L Gerencial'!G24+'P&amp;L Gerencial'!G46+'P&amp;L Gerencial'!G57+'P&amp;L Gerencial'!G81+'P&amp;L Gerencial'!G99</f>
        <v>139990.45000000001</v>
      </c>
      <c r="G34" s="348">
        <f>'P&amp;L Gerencial'!H24+'P&amp;L Gerencial'!H46+'P&amp;L Gerencial'!H57+'P&amp;L Gerencial'!H81+'P&amp;L Gerencial'!H99</f>
        <v>155244.72</v>
      </c>
      <c r="H34" s="348">
        <f>'P&amp;L Gerencial'!I24+'P&amp;L Gerencial'!I46+'P&amp;L Gerencial'!I57+'P&amp;L Gerencial'!I81+'P&amp;L Gerencial'!I99</f>
        <v>166278.77000000002</v>
      </c>
      <c r="I34" s="348">
        <f>'P&amp;L Gerencial'!J24+'P&amp;L Gerencial'!J46+'P&amp;L Gerencial'!J57+'P&amp;L Gerencial'!J81+'P&amp;L Gerencial'!J99</f>
        <v>147719.71999999997</v>
      </c>
      <c r="J34" s="348">
        <f>'P&amp;L Gerencial'!K24+'P&amp;L Gerencial'!K46+'P&amp;L Gerencial'!K57+'P&amp;L Gerencial'!K81+'P&amp;L Gerencial'!K99</f>
        <v>151824.39999999997</v>
      </c>
      <c r="K34" s="348">
        <f>'P&amp;L Gerencial'!L24+'P&amp;L Gerencial'!L46+'P&amp;L Gerencial'!L57+'P&amp;L Gerencial'!L81+'P&amp;L Gerencial'!L99</f>
        <v>157156.41999999998</v>
      </c>
      <c r="L34" s="348">
        <f>'P&amp;L Gerencial'!M24+'P&amp;L Gerencial'!M46+'P&amp;L Gerencial'!M57+'P&amp;L Gerencial'!M81+'P&amp;L Gerencial'!M99</f>
        <v>147692.62</v>
      </c>
      <c r="M34" s="348">
        <f>'P&amp;L Gerencial'!N24+'P&amp;L Gerencial'!N46+'P&amp;L Gerencial'!N57+'P&amp;L Gerencial'!N81+'P&amp;L Gerencial'!N99</f>
        <v>155900.37</v>
      </c>
      <c r="O34" s="395">
        <f>SUM(B34:N34)</f>
        <v>1837171.37</v>
      </c>
    </row>
    <row r="35" spans="1:15" ht="3.75" customHeight="1" x14ac:dyDescent="0.35">
      <c r="A35" s="349"/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349"/>
      <c r="N35" s="7"/>
      <c r="O35" s="349"/>
    </row>
    <row r="36" spans="1:15" ht="16.5" customHeight="1" x14ac:dyDescent="0.35">
      <c r="A36" s="350" t="s">
        <v>309</v>
      </c>
      <c r="B36" s="351">
        <f t="shared" ref="B36:M36" si="6">IFERROR(B32/B22,0)</f>
        <v>162.01903171953253</v>
      </c>
      <c r="C36" s="351">
        <f t="shared" si="6"/>
        <v>168.04598378776714</v>
      </c>
      <c r="D36" s="351">
        <f t="shared" si="6"/>
        <v>97.014651162790699</v>
      </c>
      <c r="E36" s="351">
        <f t="shared" si="6"/>
        <v>163.96170138888888</v>
      </c>
      <c r="F36" s="351">
        <f t="shared" si="6"/>
        <v>139.20732588699082</v>
      </c>
      <c r="G36" s="351">
        <f t="shared" si="6"/>
        <v>140.66811744386871</v>
      </c>
      <c r="H36" s="351">
        <f t="shared" si="6"/>
        <v>141.63828859060405</v>
      </c>
      <c r="I36" s="351">
        <f t="shared" si="6"/>
        <v>132.7984308597581</v>
      </c>
      <c r="J36" s="351">
        <f t="shared" si="6"/>
        <v>198.19895833333331</v>
      </c>
      <c r="K36" s="351">
        <f t="shared" si="6"/>
        <v>129.85101836393989</v>
      </c>
      <c r="L36" s="351">
        <f t="shared" si="6"/>
        <v>142.78342391304344</v>
      </c>
      <c r="M36" s="351">
        <f t="shared" si="6"/>
        <v>138.99440108585006</v>
      </c>
      <c r="O36" s="372">
        <f t="shared" ref="O36:O41" si="7">AVERAGE(B36:N36)</f>
        <v>146.26511104469731</v>
      </c>
    </row>
    <row r="37" spans="1:15" ht="16.5" customHeight="1" x14ac:dyDescent="0.35">
      <c r="A37" s="333" t="s">
        <v>310</v>
      </c>
      <c r="B37" s="340">
        <f t="shared" ref="B37:M37" si="8">IFERROR(B33/B22,0)</f>
        <v>150.4625041736227</v>
      </c>
      <c r="C37" s="340">
        <f t="shared" si="8"/>
        <v>248.40821665438472</v>
      </c>
      <c r="D37" s="340">
        <f t="shared" si="8"/>
        <v>100.96000000000001</v>
      </c>
      <c r="E37" s="340">
        <f t="shared" si="8"/>
        <v>134.3776388888889</v>
      </c>
      <c r="F37" s="340">
        <f t="shared" si="8"/>
        <v>107.43840341655718</v>
      </c>
      <c r="G37" s="340">
        <f t="shared" si="8"/>
        <v>120.66217616580312</v>
      </c>
      <c r="H37" s="340">
        <f t="shared" si="8"/>
        <v>182.03124161073825</v>
      </c>
      <c r="I37" s="340">
        <f t="shared" si="8"/>
        <v>143.51680287675711</v>
      </c>
      <c r="J37" s="340">
        <f t="shared" si="8"/>
        <v>129.6000347222222</v>
      </c>
      <c r="K37" s="340">
        <f t="shared" si="8"/>
        <v>146.5247412353923</v>
      </c>
      <c r="L37" s="340">
        <f t="shared" si="8"/>
        <v>138.4763926630435</v>
      </c>
      <c r="M37" s="340">
        <f t="shared" si="8"/>
        <v>162.90783847980998</v>
      </c>
      <c r="O37" s="370">
        <f t="shared" si="7"/>
        <v>147.11383257393501</v>
      </c>
    </row>
    <row r="38" spans="1:15" ht="16.5" customHeight="1" x14ac:dyDescent="0.35">
      <c r="A38" s="352" t="s">
        <v>311</v>
      </c>
      <c r="B38" s="353">
        <f t="shared" ref="B38:M38" si="9">IFERROR(B34/B22,0)</f>
        <v>559.11452420701164</v>
      </c>
      <c r="C38" s="353">
        <f t="shared" si="9"/>
        <v>669.29977892409738</v>
      </c>
      <c r="D38" s="353">
        <f t="shared" si="9"/>
        <v>389.56176079734217</v>
      </c>
      <c r="E38" s="353">
        <f t="shared" si="9"/>
        <v>517.37170138888894</v>
      </c>
      <c r="F38" s="353">
        <f t="shared" si="9"/>
        <v>459.88978318002637</v>
      </c>
      <c r="G38" s="353">
        <f t="shared" si="9"/>
        <v>536.25119170984453</v>
      </c>
      <c r="H38" s="353">
        <f t="shared" si="9"/>
        <v>557.98244966442962</v>
      </c>
      <c r="I38" s="353">
        <f t="shared" si="9"/>
        <v>482.90199411572405</v>
      </c>
      <c r="J38" s="353">
        <f t="shared" si="9"/>
        <v>527.16805555555538</v>
      </c>
      <c r="K38" s="353">
        <f t="shared" si="9"/>
        <v>524.72928213689477</v>
      </c>
      <c r="L38" s="353">
        <f t="shared" si="9"/>
        <v>501.67330163043482</v>
      </c>
      <c r="M38" s="353">
        <f t="shared" si="9"/>
        <v>529.0138106549033</v>
      </c>
      <c r="O38" s="373">
        <f t="shared" si="7"/>
        <v>521.2464694970962</v>
      </c>
    </row>
    <row r="39" spans="1:15" ht="16.5" customHeight="1" x14ac:dyDescent="0.35">
      <c r="A39" s="341" t="s">
        <v>312</v>
      </c>
      <c r="B39" s="354">
        <f t="shared" ref="B39:M39" si="10">IFERROR(B18/B22,0)</f>
        <v>642.30397328881475</v>
      </c>
      <c r="C39" s="354">
        <f t="shared" si="10"/>
        <v>789.59977892409734</v>
      </c>
      <c r="D39" s="354">
        <f t="shared" si="10"/>
        <v>528.38617940199333</v>
      </c>
      <c r="E39" s="354">
        <f t="shared" si="10"/>
        <v>563.87121527777776</v>
      </c>
      <c r="F39" s="354">
        <f t="shared" si="10"/>
        <v>481.78630091984235</v>
      </c>
      <c r="G39" s="354">
        <f t="shared" si="10"/>
        <v>513.72158894645941</v>
      </c>
      <c r="H39" s="354">
        <f t="shared" si="10"/>
        <v>622.34483221476512</v>
      </c>
      <c r="I39" s="354">
        <f t="shared" si="10"/>
        <v>581.00709382151035</v>
      </c>
      <c r="J39" s="354">
        <f t="shared" si="10"/>
        <v>484.12208333333336</v>
      </c>
      <c r="K39" s="354">
        <f t="shared" si="10"/>
        <v>480.92156928213694</v>
      </c>
      <c r="L39" s="354">
        <f t="shared" si="10"/>
        <v>475.89442934782613</v>
      </c>
      <c r="M39" s="354">
        <f t="shared" si="10"/>
        <v>653.55928062436385</v>
      </c>
      <c r="O39" s="371">
        <f t="shared" si="7"/>
        <v>568.12652711524345</v>
      </c>
    </row>
    <row r="40" spans="1:15" ht="16.5" customHeight="1" x14ac:dyDescent="0.35">
      <c r="A40" s="355" t="s">
        <v>313</v>
      </c>
      <c r="B40" s="356">
        <f t="shared" ref="B40:M40" si="11">B39-B38</f>
        <v>83.189449081803104</v>
      </c>
      <c r="C40" s="356">
        <f t="shared" si="11"/>
        <v>120.29999999999995</v>
      </c>
      <c r="D40" s="356">
        <f t="shared" si="11"/>
        <v>138.82441860465116</v>
      </c>
      <c r="E40" s="356">
        <f t="shared" si="11"/>
        <v>46.499513888888828</v>
      </c>
      <c r="F40" s="356">
        <f t="shared" si="11"/>
        <v>21.896517739815977</v>
      </c>
      <c r="G40" s="356">
        <f t="shared" si="11"/>
        <v>-22.529602763385128</v>
      </c>
      <c r="H40" s="356">
        <f t="shared" si="11"/>
        <v>64.362382550335496</v>
      </c>
      <c r="I40" s="356">
        <f t="shared" si="11"/>
        <v>98.105099705786301</v>
      </c>
      <c r="J40" s="356">
        <f t="shared" si="11"/>
        <v>-43.045972222222019</v>
      </c>
      <c r="K40" s="356">
        <f t="shared" si="11"/>
        <v>-43.807712854757824</v>
      </c>
      <c r="L40" s="356">
        <f t="shared" si="11"/>
        <v>-25.778872282608688</v>
      </c>
      <c r="M40" s="356">
        <f t="shared" si="11"/>
        <v>124.54546996946056</v>
      </c>
      <c r="O40" s="374">
        <f t="shared" si="7"/>
        <v>46.880057618147312</v>
      </c>
    </row>
    <row r="41" spans="1:15" ht="16.5" customHeight="1" x14ac:dyDescent="0.35">
      <c r="A41" s="357" t="s">
        <v>314</v>
      </c>
      <c r="B41" s="358">
        <f t="shared" ref="B41:M41" si="12">IFERROR(B40/B39,0)</f>
        <v>0.12951725746899065</v>
      </c>
      <c r="C41" s="358">
        <f t="shared" si="12"/>
        <v>0.1523556657575561</v>
      </c>
      <c r="D41" s="358">
        <f t="shared" si="12"/>
        <v>0.26273287231276027</v>
      </c>
      <c r="E41" s="358">
        <f t="shared" si="12"/>
        <v>8.2464776759320735E-2</v>
      </c>
      <c r="F41" s="358">
        <f t="shared" si="12"/>
        <v>4.5448610095410395E-2</v>
      </c>
      <c r="G41" s="358">
        <f t="shared" si="12"/>
        <v>-4.3855666664873581E-2</v>
      </c>
      <c r="H41" s="358">
        <f t="shared" si="12"/>
        <v>0.10341916445467433</v>
      </c>
      <c r="I41" s="358">
        <f t="shared" si="12"/>
        <v>0.16885353165055314</v>
      </c>
      <c r="J41" s="358">
        <f t="shared" si="12"/>
        <v>-8.8915531235090356E-2</v>
      </c>
      <c r="K41" s="358">
        <f t="shared" si="12"/>
        <v>-9.1091179212753587E-2</v>
      </c>
      <c r="L41" s="358">
        <f t="shared" si="12"/>
        <v>-5.4169308764417556E-2</v>
      </c>
      <c r="M41" s="358">
        <f t="shared" si="12"/>
        <v>0.19056491685112131</v>
      </c>
      <c r="O41" s="396">
        <f t="shared" si="7"/>
        <v>7.1443759122770997E-2</v>
      </c>
    </row>
    <row r="42" spans="1:15" ht="6" customHeight="1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5" customHeight="1" thickBot="1" x14ac:dyDescent="0.4">
      <c r="A43" s="448" t="s">
        <v>315</v>
      </c>
      <c r="B43" s="448"/>
      <c r="C43" s="448"/>
      <c r="D43" s="448"/>
      <c r="E43" s="448"/>
      <c r="F43" s="448"/>
      <c r="G43" s="448"/>
      <c r="H43" s="448"/>
      <c r="I43" s="448"/>
      <c r="J43" s="448"/>
      <c r="K43" s="448"/>
      <c r="L43" s="448"/>
      <c r="M43" s="448"/>
      <c r="N43" s="448"/>
      <c r="O43" s="448"/>
    </row>
    <row r="44" spans="1:15" ht="18" customHeight="1" thickBot="1" x14ac:dyDescent="0.4">
      <c r="A44" s="121" t="s">
        <v>316</v>
      </c>
      <c r="B44" s="359">
        <v>744</v>
      </c>
      <c r="C44" s="359">
        <v>672</v>
      </c>
      <c r="D44" s="400">
        <v>744</v>
      </c>
      <c r="E44" s="401">
        <v>720</v>
      </c>
      <c r="F44" s="402">
        <v>744</v>
      </c>
      <c r="G44" s="402">
        <v>720</v>
      </c>
      <c r="H44" s="402">
        <v>744</v>
      </c>
      <c r="I44" s="402">
        <v>744</v>
      </c>
      <c r="J44" s="402">
        <v>720</v>
      </c>
      <c r="K44" s="402">
        <v>744</v>
      </c>
      <c r="L44" s="402">
        <v>720</v>
      </c>
      <c r="M44" s="403">
        <v>744</v>
      </c>
      <c r="O44" s="390">
        <f>SUM(B44:N44)</f>
        <v>8760</v>
      </c>
    </row>
    <row r="45" spans="1:15" ht="16.5" customHeight="1" x14ac:dyDescent="0.35">
      <c r="A45" s="343" t="s">
        <v>317</v>
      </c>
      <c r="B45" s="345">
        <f>'P&amp;L Gerencial'!C11</f>
        <v>22754.51</v>
      </c>
      <c r="C45" s="345">
        <f>'P&amp;L Gerencial'!D11</f>
        <v>24839.759999999998</v>
      </c>
      <c r="D45" s="345">
        <f>'P&amp;L Gerencial'!E11</f>
        <v>23204.47</v>
      </c>
      <c r="E45" s="399">
        <f>'P&amp;L Gerencial'!F11</f>
        <v>22781.98</v>
      </c>
      <c r="F45" s="399">
        <f>'P&amp;L Gerencial'!G11</f>
        <v>20410.689999999999</v>
      </c>
      <c r="G45" s="399">
        <f>'P&amp;L Gerencial'!H11</f>
        <v>18773.919999999998</v>
      </c>
      <c r="H45" s="399">
        <f>'P&amp;L Gerencial'!I11</f>
        <v>17726.41</v>
      </c>
      <c r="I45" s="399">
        <f>'P&amp;L Gerencial'!J11</f>
        <v>17115.759999999998</v>
      </c>
      <c r="J45" s="399">
        <f>'P&amp;L Gerencial'!K11</f>
        <v>17788.04</v>
      </c>
      <c r="K45" s="399">
        <f>'P&amp;L Gerencial'!L11</f>
        <v>16850.099999999999</v>
      </c>
      <c r="L45" s="399">
        <f>'P&amp;L Gerencial'!M11</f>
        <v>17318.98</v>
      </c>
      <c r="M45" s="399">
        <f>'P&amp;L Gerencial'!N11</f>
        <v>18987.72</v>
      </c>
      <c r="O45" s="394">
        <f>SUM(B45:N45)</f>
        <v>238552.34000000003</v>
      </c>
    </row>
    <row r="46" spans="1:15" ht="16.5" customHeight="1" x14ac:dyDescent="0.35">
      <c r="A46" s="343" t="s">
        <v>318</v>
      </c>
      <c r="B46" s="344">
        <f t="shared" ref="B46:M46" si="13">IFERROR(B45/B44,0)</f>
        <v>30.584018817204299</v>
      </c>
      <c r="C46" s="344">
        <f t="shared" si="13"/>
        <v>36.963928571428568</v>
      </c>
      <c r="D46" s="344">
        <f t="shared" si="13"/>
        <v>31.188803763440863</v>
      </c>
      <c r="E46" s="344">
        <f t="shared" si="13"/>
        <v>31.641638888888888</v>
      </c>
      <c r="F46" s="344">
        <f t="shared" si="13"/>
        <v>27.43372311827957</v>
      </c>
      <c r="G46" s="344">
        <f t="shared" si="13"/>
        <v>26.074888888888886</v>
      </c>
      <c r="H46" s="344">
        <f t="shared" si="13"/>
        <v>23.825819892473117</v>
      </c>
      <c r="I46" s="344">
        <f t="shared" si="13"/>
        <v>23.005053763440859</v>
      </c>
      <c r="J46" s="344">
        <f t="shared" si="13"/>
        <v>24.705611111111111</v>
      </c>
      <c r="K46" s="344">
        <f t="shared" si="13"/>
        <v>22.647983870967739</v>
      </c>
      <c r="L46" s="344">
        <f t="shared" si="13"/>
        <v>24.05413888888889</v>
      </c>
      <c r="M46" s="344">
        <f t="shared" si="13"/>
        <v>25.521129032258067</v>
      </c>
      <c r="O46" s="372">
        <f>AVERAGE(B46:N46)</f>
        <v>27.303894883939233</v>
      </c>
    </row>
    <row r="47" spans="1:15" ht="16.5" customHeight="1" x14ac:dyDescent="0.35">
      <c r="A47" s="360" t="s">
        <v>319</v>
      </c>
      <c r="B47" s="361">
        <f t="shared" ref="B47:M47" si="14">IFERROR(B45/B22,0)</f>
        <v>75.974991652754582</v>
      </c>
      <c r="C47" s="361">
        <f t="shared" si="14"/>
        <v>91.524539425202661</v>
      </c>
      <c r="D47" s="361">
        <f t="shared" si="14"/>
        <v>77.091262458471761</v>
      </c>
      <c r="E47" s="361">
        <f t="shared" si="14"/>
        <v>79.104097222222222</v>
      </c>
      <c r="F47" s="361">
        <f t="shared" si="14"/>
        <v>67.05220105124836</v>
      </c>
      <c r="G47" s="361">
        <f t="shared" si="14"/>
        <v>64.849464594127795</v>
      </c>
      <c r="H47" s="361">
        <f t="shared" si="14"/>
        <v>59.48459731543624</v>
      </c>
      <c r="I47" s="361">
        <f t="shared" si="14"/>
        <v>55.952141222621769</v>
      </c>
      <c r="J47" s="361">
        <f t="shared" si="14"/>
        <v>61.764027777777784</v>
      </c>
      <c r="K47" s="361">
        <f t="shared" si="14"/>
        <v>56.260767946577623</v>
      </c>
      <c r="L47" s="361">
        <f t="shared" si="14"/>
        <v>58.828057065217394</v>
      </c>
      <c r="M47" s="361">
        <f t="shared" si="14"/>
        <v>64.430675262979307</v>
      </c>
      <c r="O47" s="397">
        <f>AVERAGE(B47:N47)</f>
        <v>67.693068582886454</v>
      </c>
    </row>
    <row r="48" spans="1:15" ht="16.5" customHeight="1" x14ac:dyDescent="0.35">
      <c r="A48" s="362" t="s">
        <v>320</v>
      </c>
      <c r="B48" s="363">
        <f t="shared" ref="B48:M48" si="15">IFERROR(B45/B18,0)</f>
        <v>0.118285103023319</v>
      </c>
      <c r="C48" s="363">
        <f t="shared" si="15"/>
        <v>0.11591256971970446</v>
      </c>
      <c r="D48" s="363">
        <f t="shared" si="15"/>
        <v>0.14589946797193035</v>
      </c>
      <c r="E48" s="363">
        <f t="shared" si="15"/>
        <v>0.14028752502156625</v>
      </c>
      <c r="F48" s="363">
        <f t="shared" si="15"/>
        <v>0.13917415443990433</v>
      </c>
      <c r="G48" s="363">
        <f t="shared" si="15"/>
        <v>0.12623464925256719</v>
      </c>
      <c r="H48" s="363">
        <f t="shared" si="15"/>
        <v>9.5581411198910199E-2</v>
      </c>
      <c r="I48" s="363">
        <f t="shared" si="15"/>
        <v>9.6301993241773881E-2</v>
      </c>
      <c r="J48" s="363">
        <f t="shared" si="15"/>
        <v>0.12757944721817471</v>
      </c>
      <c r="K48" s="363">
        <f t="shared" si="15"/>
        <v>0.11698532887713287</v>
      </c>
      <c r="L48" s="363">
        <f t="shared" si="15"/>
        <v>0.12361577156058828</v>
      </c>
      <c r="M48" s="363">
        <f t="shared" si="15"/>
        <v>9.8584286342666333E-2</v>
      </c>
      <c r="O48" s="398">
        <f>IFERROR(O45/O18,0)</f>
        <v>0.11910680250896831</v>
      </c>
    </row>
    <row r="49" spans="1:15" ht="6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5" customHeight="1" x14ac:dyDescent="0.35">
      <c r="A50" s="450" t="s">
        <v>321</v>
      </c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</row>
    <row r="51" spans="1:15" ht="19.5" customHeight="1" x14ac:dyDescent="0.35">
      <c r="A51" s="317" t="s">
        <v>322</v>
      </c>
      <c r="B51" s="317" t="s">
        <v>4</v>
      </c>
      <c r="C51" s="317" t="s">
        <v>5</v>
      </c>
      <c r="D51" s="317" t="s">
        <v>6</v>
      </c>
      <c r="E51" s="317" t="s">
        <v>7</v>
      </c>
      <c r="F51" s="317" t="s">
        <v>8</v>
      </c>
      <c r="G51" s="317" t="s">
        <v>9</v>
      </c>
      <c r="H51" s="317" t="s">
        <v>10</v>
      </c>
      <c r="I51" s="317" t="s">
        <v>11</v>
      </c>
      <c r="J51" s="317" t="s">
        <v>12</v>
      </c>
      <c r="K51" s="317" t="s">
        <v>13</v>
      </c>
      <c r="L51" s="317" t="s">
        <v>14</v>
      </c>
      <c r="M51" s="317" t="s">
        <v>15</v>
      </c>
      <c r="N51" s="317" t="s">
        <v>323</v>
      </c>
      <c r="O51" s="311"/>
    </row>
    <row r="52" spans="1:15" ht="16.5" customHeight="1" x14ac:dyDescent="0.35">
      <c r="A52" s="404" t="s">
        <v>324</v>
      </c>
      <c r="B52" s="405">
        <f t="shared" ref="B52:M52" si="16">B27</f>
        <v>0.21145237650162554</v>
      </c>
      <c r="C52" s="405">
        <f t="shared" si="16"/>
        <v>0.25993306312945219</v>
      </c>
      <c r="D52" s="405">
        <f t="shared" si="16"/>
        <v>0.17393982315180831</v>
      </c>
      <c r="E52" s="405">
        <f t="shared" si="16"/>
        <v>0.18563494177536696</v>
      </c>
      <c r="F52" s="405">
        <f t="shared" si="16"/>
        <v>0.15861795892368893</v>
      </c>
      <c r="G52" s="405">
        <f t="shared" si="16"/>
        <v>0.16914205699638002</v>
      </c>
      <c r="H52" s="405">
        <f t="shared" si="16"/>
        <v>0.20490392057948853</v>
      </c>
      <c r="I52" s="405">
        <f t="shared" si="16"/>
        <v>0.19130245956687109</v>
      </c>
      <c r="J52" s="405">
        <f t="shared" si="16"/>
        <v>0.15939360159086341</v>
      </c>
      <c r="K52" s="405">
        <f t="shared" si="16"/>
        <v>0.15833831386720773</v>
      </c>
      <c r="L52" s="405">
        <f t="shared" si="16"/>
        <v>0.1566712611259328</v>
      </c>
      <c r="M52" s="405">
        <f t="shared" si="16"/>
        <v>0.21517470315143053</v>
      </c>
      <c r="N52" s="406"/>
      <c r="O52" s="407">
        <f t="shared" ref="O52:O58" si="17">AVERAGE(B52:N52)</f>
        <v>0.18704204003000968</v>
      </c>
    </row>
    <row r="53" spans="1:15" ht="16.5" customHeight="1" x14ac:dyDescent="0.35">
      <c r="A53" s="375" t="s">
        <v>325</v>
      </c>
      <c r="B53" s="364">
        <f t="shared" ref="B53:M53" si="18">B29</f>
        <v>15.472454090150251</v>
      </c>
      <c r="C53" s="364">
        <f t="shared" si="18"/>
        <v>19.019896831245397</v>
      </c>
      <c r="D53" s="364">
        <f t="shared" si="18"/>
        <v>12.727574750830565</v>
      </c>
      <c r="E53" s="364">
        <f t="shared" si="18"/>
        <v>13.583333333333334</v>
      </c>
      <c r="F53" s="364">
        <f t="shared" si="18"/>
        <v>11.606438896189225</v>
      </c>
      <c r="G53" s="364">
        <f t="shared" si="18"/>
        <v>12.376511226252159</v>
      </c>
      <c r="H53" s="364">
        <f t="shared" si="18"/>
        <v>14.993288590604028</v>
      </c>
      <c r="I53" s="364">
        <f t="shared" si="18"/>
        <v>13.998038574697615</v>
      </c>
      <c r="J53" s="364">
        <f t="shared" si="18"/>
        <v>11.663194444444445</v>
      </c>
      <c r="K53" s="364">
        <f t="shared" si="18"/>
        <v>11.585976627712855</v>
      </c>
      <c r="L53" s="364">
        <f t="shared" si="18"/>
        <v>11.463994565217392</v>
      </c>
      <c r="M53" s="364">
        <f t="shared" si="18"/>
        <v>15.744825246012896</v>
      </c>
      <c r="N53" s="311"/>
      <c r="O53" s="376">
        <f t="shared" si="17"/>
        <v>13.68629393139085</v>
      </c>
    </row>
    <row r="54" spans="1:15" ht="16.5" customHeight="1" x14ac:dyDescent="0.35">
      <c r="A54" s="377" t="s">
        <v>326</v>
      </c>
      <c r="B54" s="365">
        <f t="shared" ref="B54:M54" si="19">B39</f>
        <v>642.30397328881475</v>
      </c>
      <c r="C54" s="365">
        <f t="shared" si="19"/>
        <v>789.59977892409734</v>
      </c>
      <c r="D54" s="365">
        <f t="shared" si="19"/>
        <v>528.38617940199333</v>
      </c>
      <c r="E54" s="365">
        <f t="shared" si="19"/>
        <v>563.87121527777776</v>
      </c>
      <c r="F54" s="365">
        <f t="shared" si="19"/>
        <v>481.78630091984235</v>
      </c>
      <c r="G54" s="365">
        <f t="shared" si="19"/>
        <v>513.72158894645941</v>
      </c>
      <c r="H54" s="365">
        <f t="shared" si="19"/>
        <v>622.34483221476512</v>
      </c>
      <c r="I54" s="365">
        <f t="shared" si="19"/>
        <v>581.00709382151035</v>
      </c>
      <c r="J54" s="365">
        <f t="shared" si="19"/>
        <v>484.12208333333336</v>
      </c>
      <c r="K54" s="365">
        <f t="shared" si="19"/>
        <v>480.92156928213694</v>
      </c>
      <c r="L54" s="365">
        <f t="shared" si="19"/>
        <v>475.89442934782613</v>
      </c>
      <c r="M54" s="365">
        <f t="shared" si="19"/>
        <v>653.55928062436385</v>
      </c>
      <c r="N54" s="311"/>
      <c r="O54" s="378">
        <f t="shared" si="17"/>
        <v>568.12652711524345</v>
      </c>
    </row>
    <row r="55" spans="1:15" ht="16.5" customHeight="1" x14ac:dyDescent="0.35">
      <c r="A55" s="379" t="s">
        <v>327</v>
      </c>
      <c r="B55" s="366">
        <f t="shared" ref="B55:M55" si="20">B36</f>
        <v>162.01903171953253</v>
      </c>
      <c r="C55" s="366">
        <f t="shared" si="20"/>
        <v>168.04598378776714</v>
      </c>
      <c r="D55" s="366">
        <f t="shared" si="20"/>
        <v>97.014651162790699</v>
      </c>
      <c r="E55" s="366">
        <f t="shared" si="20"/>
        <v>163.96170138888888</v>
      </c>
      <c r="F55" s="366">
        <f t="shared" si="20"/>
        <v>139.20732588699082</v>
      </c>
      <c r="G55" s="366">
        <f t="shared" si="20"/>
        <v>140.66811744386871</v>
      </c>
      <c r="H55" s="366">
        <f t="shared" si="20"/>
        <v>141.63828859060405</v>
      </c>
      <c r="I55" s="366">
        <f t="shared" si="20"/>
        <v>132.7984308597581</v>
      </c>
      <c r="J55" s="366">
        <f t="shared" si="20"/>
        <v>198.19895833333331</v>
      </c>
      <c r="K55" s="366">
        <f t="shared" si="20"/>
        <v>129.85101836393989</v>
      </c>
      <c r="L55" s="366">
        <f t="shared" si="20"/>
        <v>142.78342391304344</v>
      </c>
      <c r="M55" s="366">
        <f t="shared" si="20"/>
        <v>138.99440108585006</v>
      </c>
      <c r="N55" s="311"/>
      <c r="O55" s="380">
        <f t="shared" si="17"/>
        <v>146.26511104469731</v>
      </c>
    </row>
    <row r="56" spans="1:15" ht="16.5" customHeight="1" x14ac:dyDescent="0.35">
      <c r="A56" s="375" t="s">
        <v>328</v>
      </c>
      <c r="B56" s="364">
        <f t="shared" ref="B56:M56" si="21">B37</f>
        <v>150.4625041736227</v>
      </c>
      <c r="C56" s="364">
        <f t="shared" si="21"/>
        <v>248.40821665438472</v>
      </c>
      <c r="D56" s="364">
        <f t="shared" si="21"/>
        <v>100.96000000000001</v>
      </c>
      <c r="E56" s="364">
        <f t="shared" si="21"/>
        <v>134.3776388888889</v>
      </c>
      <c r="F56" s="364">
        <f t="shared" si="21"/>
        <v>107.43840341655718</v>
      </c>
      <c r="G56" s="364">
        <f t="shared" si="21"/>
        <v>120.66217616580312</v>
      </c>
      <c r="H56" s="364">
        <f t="shared" si="21"/>
        <v>182.03124161073825</v>
      </c>
      <c r="I56" s="364">
        <f t="shared" si="21"/>
        <v>143.51680287675711</v>
      </c>
      <c r="J56" s="364">
        <f t="shared" si="21"/>
        <v>129.6000347222222</v>
      </c>
      <c r="K56" s="364">
        <f t="shared" si="21"/>
        <v>146.5247412353923</v>
      </c>
      <c r="L56" s="364">
        <f t="shared" si="21"/>
        <v>138.4763926630435</v>
      </c>
      <c r="M56" s="364">
        <f t="shared" si="21"/>
        <v>162.90783847980998</v>
      </c>
      <c r="N56" s="311"/>
      <c r="O56" s="376">
        <f t="shared" si="17"/>
        <v>147.11383257393501</v>
      </c>
    </row>
    <row r="57" spans="1:15" ht="16.5" customHeight="1" x14ac:dyDescent="0.35">
      <c r="A57" s="381" t="s">
        <v>329</v>
      </c>
      <c r="B57" s="367">
        <f t="shared" ref="B57:M57" si="22">B38</f>
        <v>559.11452420701164</v>
      </c>
      <c r="C57" s="367">
        <f t="shared" si="22"/>
        <v>669.29977892409738</v>
      </c>
      <c r="D57" s="367">
        <f t="shared" si="22"/>
        <v>389.56176079734217</v>
      </c>
      <c r="E57" s="367">
        <f t="shared" si="22"/>
        <v>517.37170138888894</v>
      </c>
      <c r="F57" s="367">
        <f t="shared" si="22"/>
        <v>459.88978318002637</v>
      </c>
      <c r="G57" s="367">
        <f t="shared" si="22"/>
        <v>536.25119170984453</v>
      </c>
      <c r="H57" s="367">
        <f t="shared" si="22"/>
        <v>557.98244966442962</v>
      </c>
      <c r="I57" s="367">
        <f t="shared" si="22"/>
        <v>482.90199411572405</v>
      </c>
      <c r="J57" s="367">
        <f t="shared" si="22"/>
        <v>527.16805555555538</v>
      </c>
      <c r="K57" s="367">
        <f t="shared" si="22"/>
        <v>524.72928213689477</v>
      </c>
      <c r="L57" s="367">
        <f t="shared" si="22"/>
        <v>501.67330163043482</v>
      </c>
      <c r="M57" s="367">
        <f t="shared" si="22"/>
        <v>529.0138106549033</v>
      </c>
      <c r="N57" s="311"/>
      <c r="O57" s="382">
        <f t="shared" si="17"/>
        <v>521.2464694970962</v>
      </c>
    </row>
    <row r="58" spans="1:15" ht="16.5" customHeight="1" x14ac:dyDescent="0.35">
      <c r="A58" s="383" t="s">
        <v>330</v>
      </c>
      <c r="B58" s="368">
        <f t="shared" ref="B58:M58" si="23">B40</f>
        <v>83.189449081803104</v>
      </c>
      <c r="C58" s="368">
        <f t="shared" si="23"/>
        <v>120.29999999999995</v>
      </c>
      <c r="D58" s="368">
        <f t="shared" si="23"/>
        <v>138.82441860465116</v>
      </c>
      <c r="E58" s="368">
        <f t="shared" si="23"/>
        <v>46.499513888888828</v>
      </c>
      <c r="F58" s="368">
        <f t="shared" si="23"/>
        <v>21.896517739815977</v>
      </c>
      <c r="G58" s="368">
        <f t="shared" si="23"/>
        <v>-22.529602763385128</v>
      </c>
      <c r="H58" s="368">
        <f t="shared" si="23"/>
        <v>64.362382550335496</v>
      </c>
      <c r="I58" s="368">
        <f t="shared" si="23"/>
        <v>98.105099705786301</v>
      </c>
      <c r="J58" s="368">
        <f t="shared" si="23"/>
        <v>-43.045972222222019</v>
      </c>
      <c r="K58" s="368">
        <f t="shared" si="23"/>
        <v>-43.807712854757824</v>
      </c>
      <c r="L58" s="368">
        <f t="shared" si="23"/>
        <v>-25.778872282608688</v>
      </c>
      <c r="M58" s="368">
        <f t="shared" si="23"/>
        <v>124.54546996946056</v>
      </c>
      <c r="N58" s="311"/>
      <c r="O58" s="384">
        <f t="shared" si="17"/>
        <v>46.880057618147312</v>
      </c>
    </row>
    <row r="59" spans="1:15" ht="16.5" customHeight="1" x14ac:dyDescent="0.35">
      <c r="A59" s="385" t="s">
        <v>331</v>
      </c>
      <c r="B59" s="386">
        <f>'P&amp;L Gerencial'!C101</f>
        <v>24915.24000000002</v>
      </c>
      <c r="C59" s="386">
        <f>'P&amp;L Gerencial'!D101</f>
        <v>32649.420000000013</v>
      </c>
      <c r="D59" s="386">
        <f>'P&amp;L Gerencial'!E101</f>
        <v>41786.149999999987</v>
      </c>
      <c r="E59" s="386">
        <f>'P&amp;L Gerencial'!F101</f>
        <v>13391.859999999986</v>
      </c>
      <c r="F59" s="386">
        <f>'P&amp;L Gerencial'!G101</f>
        <v>6665.3000000000175</v>
      </c>
      <c r="G59" s="386">
        <f>'P&amp;L Gerencial'!H101</f>
        <v>-6522.320000000007</v>
      </c>
      <c r="H59" s="386">
        <f>'P&amp;L Gerencial'!I101</f>
        <v>19179.989999999983</v>
      </c>
      <c r="I59" s="386">
        <f>'P&amp;L Gerencial'!J101</f>
        <v>30010.350000000013</v>
      </c>
      <c r="J59" s="386">
        <f>'P&amp;L Gerencial'!K101</f>
        <v>-12397.239999999983</v>
      </c>
      <c r="K59" s="386">
        <f>'P&amp;L Gerencial'!L101</f>
        <v>-13120.409999999996</v>
      </c>
      <c r="L59" s="386">
        <f>'P&amp;L Gerencial'!M101</f>
        <v>-7589.2999999999884</v>
      </c>
      <c r="M59" s="386">
        <f>'P&amp;L Gerencial'!N101</f>
        <v>36703.550000000017</v>
      </c>
      <c r="N59" s="387"/>
      <c r="O59" s="388">
        <f>SUM(B59:N59)</f>
        <v>165672.59000000005</v>
      </c>
    </row>
  </sheetData>
  <mergeCells count="9">
    <mergeCell ref="A21:O21"/>
    <mergeCell ref="A31:O31"/>
    <mergeCell ref="A43:O43"/>
    <mergeCell ref="A50:O50"/>
    <mergeCell ref="A1:O1"/>
    <mergeCell ref="A2:O2"/>
    <mergeCell ref="A5:O5"/>
    <mergeCell ref="A13:O13"/>
    <mergeCell ref="A20:O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G62"/>
  <sheetViews>
    <sheetView showGridLines="0" topLeftCell="A40" zoomScaleNormal="100" workbookViewId="0">
      <selection activeCell="B42" sqref="B42"/>
    </sheetView>
  </sheetViews>
  <sheetFormatPr baseColWidth="10" defaultColWidth="8.6328125" defaultRowHeight="14.5" x14ac:dyDescent="0.35"/>
  <cols>
    <col min="1" max="1" width="42" customWidth="1"/>
    <col min="2" max="2" width="15" customWidth="1"/>
    <col min="3" max="3" width="16" customWidth="1"/>
    <col min="4" max="5" width="14" customWidth="1"/>
    <col min="6" max="6" width="18.90625" bestFit="1" customWidth="1"/>
    <col min="7" max="7" width="14" customWidth="1"/>
  </cols>
  <sheetData>
    <row r="1" spans="1:6" ht="30" customHeight="1" x14ac:dyDescent="0.35">
      <c r="A1" s="462" t="s">
        <v>332</v>
      </c>
      <c r="B1" s="462"/>
      <c r="C1" s="462"/>
      <c r="D1" s="462"/>
      <c r="E1" s="462"/>
      <c r="F1" s="462"/>
    </row>
    <row r="2" spans="1:6" ht="13.5" customHeight="1" x14ac:dyDescent="0.35">
      <c r="A2" s="463" t="s">
        <v>791</v>
      </c>
      <c r="B2" s="463"/>
      <c r="C2" s="463"/>
      <c r="D2" s="463"/>
      <c r="E2" s="463"/>
      <c r="F2" s="463"/>
    </row>
    <row r="4" spans="1:6" ht="21.75" customHeight="1" x14ac:dyDescent="0.35">
      <c r="A4" s="437" t="s">
        <v>333</v>
      </c>
      <c r="B4" s="437"/>
      <c r="C4" s="437"/>
      <c r="D4" s="437"/>
      <c r="E4" s="437"/>
      <c r="F4" s="437"/>
    </row>
    <row r="5" spans="1:6" ht="18" customHeight="1" x14ac:dyDescent="0.35">
      <c r="A5" s="132" t="s">
        <v>334</v>
      </c>
      <c r="B5" s="133">
        <f>'P&amp;L Gerencial'!O6</f>
        <v>2002843.96</v>
      </c>
      <c r="C5" s="134" t="s">
        <v>335</v>
      </c>
      <c r="D5" s="120"/>
      <c r="E5" s="120"/>
      <c r="F5" s="120"/>
    </row>
    <row r="6" spans="1:6" ht="18" customHeight="1" x14ac:dyDescent="0.35">
      <c r="A6" s="85" t="s">
        <v>336</v>
      </c>
      <c r="B6" s="86">
        <f>'P&amp;L Gerencial'!O24</f>
        <v>515452.91</v>
      </c>
      <c r="C6" s="134" t="s">
        <v>337</v>
      </c>
      <c r="D6" s="120"/>
      <c r="E6" s="120"/>
      <c r="F6" s="120"/>
    </row>
    <row r="7" spans="1:6" ht="18" customHeight="1" x14ac:dyDescent="0.35">
      <c r="A7" s="85" t="s">
        <v>338</v>
      </c>
      <c r="B7" s="86">
        <f>'P&amp;L Gerencial'!O46</f>
        <v>517339.63999999996</v>
      </c>
      <c r="C7" s="134" t="s">
        <v>339</v>
      </c>
      <c r="D7" s="120"/>
      <c r="E7" s="120"/>
      <c r="F7" s="120"/>
    </row>
    <row r="8" spans="1:6" ht="18" customHeight="1" x14ac:dyDescent="0.35">
      <c r="A8" s="85" t="s">
        <v>340</v>
      </c>
      <c r="B8" s="86">
        <f>'P&amp;L Gerencial'!O57</f>
        <v>105699.39</v>
      </c>
      <c r="C8" s="134" t="s">
        <v>341</v>
      </c>
      <c r="D8" s="120"/>
      <c r="E8" s="120"/>
      <c r="F8" s="120"/>
    </row>
    <row r="9" spans="1:6" ht="18" customHeight="1" x14ac:dyDescent="0.35">
      <c r="A9" s="85" t="s">
        <v>342</v>
      </c>
      <c r="B9" s="86">
        <f>'P&amp;L Gerencial'!O81</f>
        <v>75929.340000000026</v>
      </c>
      <c r="C9" s="134" t="s">
        <v>343</v>
      </c>
      <c r="D9" s="120"/>
      <c r="E9" s="120"/>
      <c r="F9" s="120"/>
    </row>
    <row r="10" spans="1:6" ht="18" customHeight="1" x14ac:dyDescent="0.35">
      <c r="A10" s="85" t="s">
        <v>344</v>
      </c>
      <c r="B10" s="86">
        <f>'P&amp;L Gerencial'!O99</f>
        <v>622750.09000000008</v>
      </c>
      <c r="C10" s="134" t="s">
        <v>345</v>
      </c>
      <c r="D10" s="120"/>
      <c r="E10" s="120"/>
      <c r="F10" s="120"/>
    </row>
    <row r="11" spans="1:6" ht="7.5" customHeight="1" x14ac:dyDescent="0.35"/>
    <row r="12" spans="1:6" ht="21.75" customHeight="1" x14ac:dyDescent="0.35">
      <c r="A12" s="461" t="s">
        <v>346</v>
      </c>
      <c r="B12" s="461"/>
      <c r="C12" s="461"/>
      <c r="D12" s="461"/>
      <c r="E12" s="461"/>
      <c r="F12" s="461"/>
    </row>
    <row r="13" spans="1:6" ht="18" customHeight="1" x14ac:dyDescent="0.35">
      <c r="A13" s="135" t="s">
        <v>347</v>
      </c>
      <c r="B13" s="136">
        <f>B6+B7+B9+B10</f>
        <v>1731471.98</v>
      </c>
      <c r="C13" s="134" t="s">
        <v>348</v>
      </c>
      <c r="D13" s="120"/>
      <c r="E13" s="120"/>
      <c r="F13" s="120"/>
    </row>
    <row r="14" spans="1:6" ht="18" customHeight="1" x14ac:dyDescent="0.35">
      <c r="A14" s="85" t="s">
        <v>349</v>
      </c>
      <c r="B14" s="137">
        <f>B8</f>
        <v>105699.39</v>
      </c>
      <c r="C14" s="134" t="s">
        <v>350</v>
      </c>
      <c r="D14" s="120"/>
      <c r="E14" s="120"/>
      <c r="F14" s="120"/>
    </row>
    <row r="15" spans="1:6" ht="18" customHeight="1" x14ac:dyDescent="0.35">
      <c r="A15" s="138" t="s">
        <v>351</v>
      </c>
      <c r="B15" s="139">
        <f>IFERROR(B14/B5,0)</f>
        <v>5.2774650502478489E-2</v>
      </c>
      <c r="C15" s="134" t="s">
        <v>352</v>
      </c>
      <c r="D15" s="120"/>
      <c r="E15" s="120"/>
      <c r="F15" s="120"/>
    </row>
    <row r="16" spans="1:6" ht="18" customHeight="1" x14ac:dyDescent="0.35">
      <c r="A16" s="132" t="s">
        <v>353</v>
      </c>
      <c r="B16" s="140">
        <f>1-B15</f>
        <v>0.94722534949752146</v>
      </c>
      <c r="C16" s="134" t="s">
        <v>354</v>
      </c>
      <c r="D16" s="120"/>
      <c r="E16" s="120"/>
      <c r="F16" s="120"/>
    </row>
    <row r="17" spans="1:6" ht="18" customHeight="1" x14ac:dyDescent="0.35">
      <c r="A17" s="141" t="s">
        <v>355</v>
      </c>
      <c r="B17" s="142">
        <f>IFERROR(B5*B16,0)</f>
        <v>1897144.5699999998</v>
      </c>
      <c r="C17" s="134" t="s">
        <v>356</v>
      </c>
      <c r="D17" s="120"/>
      <c r="E17" s="120"/>
      <c r="F17" s="120"/>
    </row>
    <row r="18" spans="1:6" ht="7.5" customHeight="1" x14ac:dyDescent="0.35"/>
    <row r="19" spans="1:6" ht="21.75" customHeight="1" x14ac:dyDescent="0.35">
      <c r="A19" s="455" t="s">
        <v>357</v>
      </c>
      <c r="B19" s="455"/>
      <c r="C19" s="455"/>
      <c r="D19" s="455"/>
      <c r="E19" s="455"/>
      <c r="F19" s="455"/>
    </row>
    <row r="20" spans="1:6" ht="18" customHeight="1" x14ac:dyDescent="0.35">
      <c r="A20" s="143" t="s">
        <v>358</v>
      </c>
      <c r="B20" s="144">
        <f>IFERROR(B13/B16,0)</f>
        <v>1827940.9233700312</v>
      </c>
      <c r="C20" s="134" t="s">
        <v>359</v>
      </c>
      <c r="D20" s="120"/>
      <c r="E20" s="120"/>
      <c r="F20" s="120"/>
    </row>
    <row r="21" spans="1:6" ht="18" customHeight="1" x14ac:dyDescent="0.35">
      <c r="A21" s="143" t="s">
        <v>360</v>
      </c>
      <c r="B21" s="144">
        <f>B20/12</f>
        <v>152328.41028083593</v>
      </c>
      <c r="C21" s="134" t="s">
        <v>361</v>
      </c>
      <c r="D21" s="120"/>
      <c r="E21" s="120"/>
      <c r="F21" s="120"/>
    </row>
    <row r="22" spans="1:6" ht="18" customHeight="1" x14ac:dyDescent="0.35">
      <c r="A22" s="145" t="s">
        <v>362</v>
      </c>
      <c r="B22" s="139">
        <f>IFERROR(B20/B5,0)</f>
        <v>0.91267265941677811</v>
      </c>
      <c r="C22" s="134" t="s">
        <v>363</v>
      </c>
      <c r="D22" s="120"/>
      <c r="E22" s="120"/>
      <c r="F22" s="120"/>
    </row>
    <row r="23" spans="1:6" ht="4.5" customHeight="1" x14ac:dyDescent="0.35"/>
    <row r="24" spans="1:6" ht="21.75" customHeight="1" x14ac:dyDescent="0.35">
      <c r="A24" s="457" t="s">
        <v>364</v>
      </c>
      <c r="B24" s="457"/>
      <c r="C24" s="457"/>
      <c r="D24" s="457"/>
      <c r="E24" s="457"/>
      <c r="F24" s="457"/>
    </row>
    <row r="25" spans="1:6" ht="18" customHeight="1" x14ac:dyDescent="0.35">
      <c r="A25" s="138" t="s">
        <v>365</v>
      </c>
      <c r="B25" s="146">
        <f>AVERAGE('Indicadores Operativos'!B39:N39)</f>
        <v>568.12652711524345</v>
      </c>
      <c r="C25" s="147" t="s">
        <v>366</v>
      </c>
      <c r="D25" s="120"/>
      <c r="E25" s="120"/>
      <c r="F25" s="120"/>
    </row>
    <row r="26" spans="1:6" ht="18" customHeight="1" x14ac:dyDescent="0.35">
      <c r="A26" s="138" t="s">
        <v>367</v>
      </c>
      <c r="B26" s="148">
        <f>'Indicadores Operativos'!O22</f>
        <v>3534.3</v>
      </c>
      <c r="C26" s="149" t="s">
        <v>368</v>
      </c>
      <c r="D26" s="120"/>
      <c r="E26" s="120"/>
      <c r="F26" s="120"/>
    </row>
    <row r="27" spans="1:6" ht="18" customHeight="1" x14ac:dyDescent="0.35">
      <c r="A27" s="150" t="s">
        <v>369</v>
      </c>
      <c r="B27" s="151">
        <f>IFERROR(B20/B25,0)</f>
        <v>3217.4891263249124</v>
      </c>
      <c r="C27" s="149" t="s">
        <v>370</v>
      </c>
      <c r="D27" s="120"/>
      <c r="E27" s="120"/>
      <c r="F27" s="120"/>
    </row>
    <row r="28" spans="1:6" ht="18" customHeight="1" x14ac:dyDescent="0.35">
      <c r="A28" s="150" t="s">
        <v>371</v>
      </c>
      <c r="B28" s="140">
        <f>IFERROR(B27/B26,0)</f>
        <v>0.91036106904476477</v>
      </c>
      <c r="C28" s="149" t="s">
        <v>372</v>
      </c>
      <c r="D28" s="120"/>
      <c r="E28" s="120"/>
      <c r="F28" s="120"/>
    </row>
    <row r="29" spans="1:6" ht="18" customHeight="1" x14ac:dyDescent="0.35">
      <c r="A29" s="152" t="s">
        <v>373</v>
      </c>
      <c r="B29" s="153">
        <f>AVERAGE('Indicadores Operativos'!B27:N27)</f>
        <v>0.18704204003000968</v>
      </c>
      <c r="C29" s="149" t="s">
        <v>374</v>
      </c>
      <c r="D29" s="120"/>
      <c r="E29" s="120"/>
      <c r="F29" s="120"/>
    </row>
    <row r="30" spans="1:6" ht="18" customHeight="1" x14ac:dyDescent="0.35">
      <c r="A30" s="154" t="s">
        <v>375</v>
      </c>
      <c r="B30" s="155">
        <f>B29-B28</f>
        <v>-0.72331902901475509</v>
      </c>
      <c r="C30" s="149" t="s">
        <v>376</v>
      </c>
      <c r="D30" s="120"/>
      <c r="E30" s="120"/>
      <c r="F30" s="120"/>
    </row>
    <row r="31" spans="1:6" ht="4.5" customHeight="1" x14ac:dyDescent="0.35"/>
    <row r="32" spans="1:6" ht="21.75" customHeight="1" x14ac:dyDescent="0.35">
      <c r="A32" s="458" t="s">
        <v>377</v>
      </c>
      <c r="B32" s="458"/>
      <c r="C32" s="458"/>
      <c r="D32" s="458"/>
      <c r="E32" s="458"/>
      <c r="F32" s="458"/>
    </row>
    <row r="33" spans="1:7" ht="15.75" customHeight="1" x14ac:dyDescent="0.35">
      <c r="A33" s="459" t="s">
        <v>378</v>
      </c>
      <c r="B33" s="459"/>
      <c r="C33" s="459"/>
      <c r="D33" s="459"/>
      <c r="E33" s="459"/>
      <c r="F33" s="459"/>
    </row>
    <row r="34" spans="1:7" ht="15" customHeight="1" x14ac:dyDescent="0.35">
      <c r="A34" s="156" t="s">
        <v>379</v>
      </c>
      <c r="B34" s="157">
        <f>IFERROR((B13/(1-B15))/(B25*(1+-0.2))/B26,0)</f>
        <v>1.1379513363059559</v>
      </c>
      <c r="C34" s="158" t="s">
        <v>380</v>
      </c>
    </row>
    <row r="35" spans="1:7" ht="15" customHeight="1" x14ac:dyDescent="0.35">
      <c r="A35" s="156" t="s">
        <v>381</v>
      </c>
      <c r="B35" s="157">
        <f>IFERROR((B13/(1-B15))/(B25*(1+-0.1))/B26,0)</f>
        <v>1.0115122989386274</v>
      </c>
      <c r="C35" s="158" t="s">
        <v>380</v>
      </c>
    </row>
    <row r="36" spans="1:7" ht="15" customHeight="1" x14ac:dyDescent="0.35">
      <c r="A36" s="159" t="s">
        <v>382</v>
      </c>
      <c r="B36" s="160">
        <f>IFERROR((B13/(1-B15))/(B25*(1+0))/B26,0)</f>
        <v>0.91036106904476477</v>
      </c>
      <c r="C36" s="158" t="s">
        <v>380</v>
      </c>
    </row>
    <row r="37" spans="1:7" ht="15" customHeight="1" x14ac:dyDescent="0.35">
      <c r="A37" s="161" t="s">
        <v>383</v>
      </c>
      <c r="B37" s="162">
        <f>IFERROR((B13/(1-B15))/(B25*(1+0.1))/B26,0)</f>
        <v>0.82760097185887693</v>
      </c>
      <c r="C37" s="158" t="s">
        <v>380</v>
      </c>
    </row>
    <row r="38" spans="1:7" ht="15" customHeight="1" x14ac:dyDescent="0.35">
      <c r="A38" s="161" t="s">
        <v>384</v>
      </c>
      <c r="B38" s="162">
        <f>IFERROR((B13/(1-B15))/(B25*(1+0.2))/B26,0)</f>
        <v>0.75863422420397064</v>
      </c>
      <c r="C38" s="158" t="s">
        <v>380</v>
      </c>
    </row>
    <row r="39" spans="1:7" ht="9.75" customHeight="1" x14ac:dyDescent="0.35"/>
    <row r="40" spans="1:7" ht="21.75" customHeight="1" x14ac:dyDescent="0.35">
      <c r="A40" s="460" t="s">
        <v>385</v>
      </c>
      <c r="B40" s="460"/>
      <c r="C40" s="460"/>
      <c r="D40" s="460"/>
      <c r="E40" s="460"/>
      <c r="F40" s="460"/>
      <c r="G40" s="460"/>
    </row>
    <row r="41" spans="1:7" ht="21.75" customHeight="1" x14ac:dyDescent="0.35">
      <c r="A41" s="324" t="s">
        <v>386</v>
      </c>
      <c r="B41" s="309" t="s">
        <v>387</v>
      </c>
      <c r="C41" s="306" t="s">
        <v>388</v>
      </c>
      <c r="D41" s="325" t="s">
        <v>389</v>
      </c>
      <c r="E41" s="326" t="s">
        <v>390</v>
      </c>
      <c r="F41" s="326" t="s">
        <v>391</v>
      </c>
      <c r="G41" s="304" t="s">
        <v>392</v>
      </c>
    </row>
    <row r="42" spans="1:7" ht="15.75" customHeight="1" x14ac:dyDescent="0.35">
      <c r="A42" s="85" t="s">
        <v>274</v>
      </c>
      <c r="B42" s="164">
        <f>Simulador!D6</f>
        <v>33.9</v>
      </c>
      <c r="C42" s="165">
        <f>B42*B15</f>
        <v>1.7890606520340206</v>
      </c>
      <c r="D42" s="166">
        <f t="shared" ref="D42:D47" si="0">B42-C42</f>
        <v>32.110939347965981</v>
      </c>
      <c r="E42" s="90">
        <f>IFERROR(ROUND(B13/D42,0),0)</f>
        <v>53922</v>
      </c>
      <c r="F42" s="90">
        <f t="shared" ref="F42:F47" si="1">IFERROR(ROUND(E42/12,0),0)</f>
        <v>4494</v>
      </c>
      <c r="G42" s="90">
        <f t="shared" ref="G42:G47" si="2">IFERROR(ROUND(F42/30,0),0)</f>
        <v>150</v>
      </c>
    </row>
    <row r="43" spans="1:7" ht="15.75" customHeight="1" x14ac:dyDescent="0.35">
      <c r="A43" s="85" t="s">
        <v>277</v>
      </c>
      <c r="B43" s="164">
        <f>Simulador!D7</f>
        <v>59.32</v>
      </c>
      <c r="C43" s="165">
        <f>B43*B15</f>
        <v>3.1305922678070242</v>
      </c>
      <c r="D43" s="166">
        <f t="shared" si="0"/>
        <v>56.189407732192976</v>
      </c>
      <c r="E43" s="90">
        <f>IFERROR(ROUND(B13/D43,0),0)</f>
        <v>30815</v>
      </c>
      <c r="F43" s="90">
        <f t="shared" si="1"/>
        <v>2568</v>
      </c>
      <c r="G43" s="90">
        <f t="shared" si="2"/>
        <v>86</v>
      </c>
    </row>
    <row r="44" spans="1:7" ht="15.75" customHeight="1" x14ac:dyDescent="0.35">
      <c r="A44" s="85" t="s">
        <v>393</v>
      </c>
      <c r="B44" s="164">
        <f>Simulador!D8</f>
        <v>186.44</v>
      </c>
      <c r="C44" s="165">
        <f>B44*B15</f>
        <v>9.8393058396820887</v>
      </c>
      <c r="D44" s="166">
        <f t="shared" si="0"/>
        <v>176.60069416031791</v>
      </c>
      <c r="E44" s="90">
        <f>IFERROR(ROUND(B13/D44,0),0)</f>
        <v>9804</v>
      </c>
      <c r="F44" s="90">
        <f t="shared" si="1"/>
        <v>817</v>
      </c>
      <c r="G44" s="90">
        <f t="shared" si="2"/>
        <v>27</v>
      </c>
    </row>
    <row r="45" spans="1:7" ht="15.75" customHeight="1" x14ac:dyDescent="0.35">
      <c r="A45" s="85" t="s">
        <v>394</v>
      </c>
      <c r="B45" s="164">
        <f>Simulador!D9</f>
        <v>296.61</v>
      </c>
      <c r="C45" s="165">
        <f>B45*B15</f>
        <v>15.653489085540146</v>
      </c>
      <c r="D45" s="166">
        <f t="shared" si="0"/>
        <v>280.95651091445984</v>
      </c>
      <c r="E45" s="90">
        <f>IFERROR(ROUND(B13/D45,0),0)</f>
        <v>6163</v>
      </c>
      <c r="F45" s="90">
        <f t="shared" si="1"/>
        <v>514</v>
      </c>
      <c r="G45" s="90">
        <f t="shared" si="2"/>
        <v>17</v>
      </c>
    </row>
    <row r="46" spans="1:7" ht="15.75" customHeight="1" x14ac:dyDescent="0.35">
      <c r="A46" s="85" t="s">
        <v>286</v>
      </c>
      <c r="B46" s="164">
        <f>Simulador!D10</f>
        <v>50.85</v>
      </c>
      <c r="C46" s="165">
        <f>B46*B15</f>
        <v>2.6835909780510314</v>
      </c>
      <c r="D46" s="166">
        <f t="shared" si="0"/>
        <v>48.166409021948972</v>
      </c>
      <c r="E46" s="90">
        <f>IFERROR(ROUND(B13/D46,0),0)</f>
        <v>35948</v>
      </c>
      <c r="F46" s="90">
        <f t="shared" si="1"/>
        <v>2996</v>
      </c>
      <c r="G46" s="90">
        <f t="shared" si="2"/>
        <v>100</v>
      </c>
    </row>
    <row r="47" spans="1:7" ht="18" customHeight="1" x14ac:dyDescent="0.35">
      <c r="A47" s="274" t="s">
        <v>748</v>
      </c>
      <c r="B47" s="168">
        <f>'Indicadores Operativos'!B14</f>
        <v>41.51</v>
      </c>
      <c r="C47" s="169">
        <f>B47*B15</f>
        <v>2.190675742357882</v>
      </c>
      <c r="D47" s="131">
        <f t="shared" si="0"/>
        <v>39.319324257642116</v>
      </c>
      <c r="E47" s="170">
        <f>IFERROR(ROUND(B13/D47,0),0)</f>
        <v>44036</v>
      </c>
      <c r="F47" s="170">
        <f t="shared" si="1"/>
        <v>3670</v>
      </c>
      <c r="G47" s="90">
        <f t="shared" si="2"/>
        <v>122</v>
      </c>
    </row>
    <row r="48" spans="1:7" ht="7.5" customHeight="1" x14ac:dyDescent="0.35"/>
    <row r="49" spans="1:7" ht="21.75" customHeight="1" x14ac:dyDescent="0.35">
      <c r="A49" s="461" t="s">
        <v>395</v>
      </c>
      <c r="B49" s="461"/>
      <c r="C49" s="461"/>
      <c r="D49" s="461"/>
      <c r="E49" s="461"/>
      <c r="F49" s="461"/>
      <c r="G49" s="461"/>
    </row>
    <row r="50" spans="1:7" ht="21.75" customHeight="1" x14ac:dyDescent="0.35">
      <c r="A50" s="324" t="s">
        <v>255</v>
      </c>
      <c r="B50" s="327" t="s">
        <v>396</v>
      </c>
      <c r="C50" s="327" t="s">
        <v>397</v>
      </c>
      <c r="D50" s="327" t="s">
        <v>398</v>
      </c>
      <c r="E50" s="327" t="s">
        <v>398</v>
      </c>
      <c r="F50" s="325" t="s">
        <v>399</v>
      </c>
      <c r="G50" s="311"/>
    </row>
    <row r="51" spans="1:7" ht="18" customHeight="1" x14ac:dyDescent="0.35">
      <c r="A51" s="171" t="s">
        <v>400</v>
      </c>
      <c r="B51" s="172">
        <f>E47</f>
        <v>44036</v>
      </c>
      <c r="C51" s="172">
        <f>ROUND(B51/12,0)</f>
        <v>3670</v>
      </c>
      <c r="D51" s="172">
        <f>ROUND(C51/30,0)</f>
        <v>122</v>
      </c>
      <c r="E51" s="172">
        <f>ROUND(C51/30,0)</f>
        <v>122</v>
      </c>
      <c r="F51" s="173" t="s">
        <v>401</v>
      </c>
    </row>
    <row r="52" spans="1:7" ht="18" customHeight="1" x14ac:dyDescent="0.35">
      <c r="A52" s="174" t="s">
        <v>402</v>
      </c>
      <c r="B52" s="126">
        <f>'Indicadores Operativos'!O15</f>
        <v>48249</v>
      </c>
      <c r="C52" s="126">
        <f>ROUND('Indicadores Operativos'!O15/12,0)</f>
        <v>4021</v>
      </c>
      <c r="D52" s="126">
        <f>ROUND(C52/30,0)</f>
        <v>134</v>
      </c>
      <c r="E52" s="126">
        <f>ROUND(C52/30,0)</f>
        <v>134</v>
      </c>
      <c r="F52" s="175" t="s">
        <v>403</v>
      </c>
    </row>
    <row r="53" spans="1:7" ht="18" customHeight="1" x14ac:dyDescent="0.35">
      <c r="A53" s="176" t="s">
        <v>404</v>
      </c>
      <c r="B53" s="90">
        <f>B52-B51</f>
        <v>4213</v>
      </c>
      <c r="C53" s="90">
        <f>C52-C51</f>
        <v>351</v>
      </c>
      <c r="D53" s="90">
        <f>D52-D51</f>
        <v>12</v>
      </c>
      <c r="E53" s="90">
        <f>E52-E51</f>
        <v>12</v>
      </c>
      <c r="F53" s="177" t="s">
        <v>797</v>
      </c>
    </row>
    <row r="54" spans="1:7" ht="7.5" customHeight="1" x14ac:dyDescent="0.35"/>
    <row r="55" spans="1:7" ht="21.75" customHeight="1" x14ac:dyDescent="0.35">
      <c r="A55" s="455" t="s">
        <v>405</v>
      </c>
      <c r="B55" s="455"/>
      <c r="C55" s="455"/>
      <c r="D55" s="455"/>
      <c r="E55" s="455"/>
      <c r="F55" s="455"/>
      <c r="G55" s="455"/>
    </row>
    <row r="56" spans="1:7" ht="21.75" customHeight="1" x14ac:dyDescent="0.35">
      <c r="A56" s="325" t="s">
        <v>406</v>
      </c>
      <c r="B56" s="324" t="s">
        <v>407</v>
      </c>
      <c r="C56" s="328" t="s">
        <v>408</v>
      </c>
      <c r="D56" s="328" t="s">
        <v>409</v>
      </c>
      <c r="E56" s="325" t="s">
        <v>410</v>
      </c>
      <c r="F56" s="326" t="s">
        <v>411</v>
      </c>
      <c r="G56" s="311"/>
    </row>
    <row r="57" spans="1:7" ht="15.75" customHeight="1" x14ac:dyDescent="0.35">
      <c r="A57" s="85" t="s">
        <v>412</v>
      </c>
      <c r="B57" s="178">
        <f>ROUND('Indicadores Operativos'!O22/12/30,2)</f>
        <v>9.82</v>
      </c>
      <c r="C57" s="179">
        <f>ROUND(E47/12/30,0)</f>
        <v>122</v>
      </c>
      <c r="D57" s="130">
        <f>IFERROR(ROUND(C57/B57,1),0)</f>
        <v>12.4</v>
      </c>
      <c r="E57" s="180">
        <v>40</v>
      </c>
      <c r="F57" s="82">
        <f>IFERROR(D57/E57,0)</f>
        <v>0.31</v>
      </c>
    </row>
    <row r="58" spans="1:7" ht="15.75" customHeight="1" x14ac:dyDescent="0.35">
      <c r="A58" s="85" t="s">
        <v>413</v>
      </c>
      <c r="B58" s="181">
        <v>6.67</v>
      </c>
      <c r="C58" s="179">
        <f>ROUND(E47/12/30,0)</f>
        <v>122</v>
      </c>
      <c r="D58" s="130">
        <f>IFERROR(ROUND(C58/B58,1),0)</f>
        <v>18.3</v>
      </c>
      <c r="E58" s="180">
        <v>40</v>
      </c>
      <c r="F58" s="82">
        <f>IFERROR(D58/E58,0)</f>
        <v>0.45750000000000002</v>
      </c>
    </row>
    <row r="59" spans="1:7" ht="15.75" customHeight="1" x14ac:dyDescent="0.35">
      <c r="A59" s="85" t="s">
        <v>414</v>
      </c>
      <c r="B59" s="181">
        <v>10</v>
      </c>
      <c r="C59" s="179">
        <f>ROUND(E47/12/30,0)</f>
        <v>122</v>
      </c>
      <c r="D59" s="130">
        <f>IFERROR(ROUND(C59/B59,1),0)</f>
        <v>12.2</v>
      </c>
      <c r="E59" s="180">
        <v>40</v>
      </c>
      <c r="F59" s="82">
        <f>IFERROR(D59/E59,0)</f>
        <v>0.30499999999999999</v>
      </c>
    </row>
    <row r="60" spans="1:7" ht="15.75" customHeight="1" x14ac:dyDescent="0.35">
      <c r="A60" s="85" t="s">
        <v>415</v>
      </c>
      <c r="B60" s="181">
        <v>11.5</v>
      </c>
      <c r="C60" s="179">
        <f>ROUND(E47/12/30,0)</f>
        <v>122</v>
      </c>
      <c r="D60" s="130">
        <f>IFERROR(ROUND(C60/B60,1),0)</f>
        <v>10.6</v>
      </c>
      <c r="E60" s="180">
        <v>40</v>
      </c>
      <c r="F60" s="82">
        <f>IFERROR(D60/E60,0)</f>
        <v>0.26500000000000001</v>
      </c>
    </row>
    <row r="62" spans="1:7" ht="54.75" customHeight="1" x14ac:dyDescent="0.35">
      <c r="A62" s="456" t="s">
        <v>798</v>
      </c>
      <c r="B62" s="456"/>
      <c r="C62" s="456"/>
      <c r="D62" s="456"/>
      <c r="E62" s="456"/>
      <c r="F62" s="456"/>
      <c r="G62" s="456"/>
    </row>
  </sheetData>
  <mergeCells count="12">
    <mergeCell ref="A1:F1"/>
    <mergeCell ref="A2:F2"/>
    <mergeCell ref="A4:F4"/>
    <mergeCell ref="A12:F12"/>
    <mergeCell ref="A19:F19"/>
    <mergeCell ref="A55:G55"/>
    <mergeCell ref="A62:G62"/>
    <mergeCell ref="A24:F24"/>
    <mergeCell ref="A32:F32"/>
    <mergeCell ref="A33:F33"/>
    <mergeCell ref="A40:G40"/>
    <mergeCell ref="A49:G4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527A0"/>
  </sheetPr>
  <dimension ref="A1:K78"/>
  <sheetViews>
    <sheetView showGridLines="0" zoomScale="90" zoomScaleNormal="90" workbookViewId="0">
      <selection activeCell="A5" sqref="A5:B5"/>
    </sheetView>
  </sheetViews>
  <sheetFormatPr baseColWidth="10" defaultColWidth="8.6328125" defaultRowHeight="14.5" x14ac:dyDescent="0.35"/>
  <cols>
    <col min="1" max="1" width="48.26953125" bestFit="1" customWidth="1"/>
    <col min="2" max="2" width="26.453125" bestFit="1" customWidth="1"/>
    <col min="3" max="3" width="22.08984375" bestFit="1" customWidth="1"/>
    <col min="4" max="4" width="21.54296875" customWidth="1"/>
    <col min="5" max="5" width="26.90625" customWidth="1"/>
    <col min="6" max="6" width="35" customWidth="1"/>
    <col min="7" max="7" width="13.453125" bestFit="1" customWidth="1"/>
    <col min="8" max="8" width="26" bestFit="1" customWidth="1"/>
    <col min="9" max="9" width="14" customWidth="1"/>
    <col min="10" max="10" width="8.26953125" bestFit="1" customWidth="1"/>
    <col min="11" max="11" width="30" customWidth="1"/>
  </cols>
  <sheetData>
    <row r="1" spans="1:11" ht="30" customHeight="1" x14ac:dyDescent="0.35">
      <c r="A1" s="434" t="s">
        <v>477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</row>
    <row r="2" spans="1:11" ht="13.5" customHeight="1" x14ac:dyDescent="0.35">
      <c r="A2" s="472" t="s">
        <v>478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</row>
    <row r="3" spans="1:11" ht="9.75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.75" customHeight="1" x14ac:dyDescent="0.35">
      <c r="A4" s="473" t="s">
        <v>479</v>
      </c>
      <c r="B4" s="473"/>
      <c r="C4" s="474" t="s">
        <v>480</v>
      </c>
      <c r="D4" s="474"/>
      <c r="E4" s="475" t="s">
        <v>481</v>
      </c>
      <c r="F4" s="475"/>
      <c r="G4" s="476" t="s">
        <v>482</v>
      </c>
      <c r="H4" s="476"/>
      <c r="I4" s="473" t="s">
        <v>483</v>
      </c>
      <c r="J4" s="473"/>
      <c r="K4" s="7"/>
    </row>
    <row r="5" spans="1:11" ht="31.5" customHeight="1" x14ac:dyDescent="0.35">
      <c r="A5" s="468">
        <v>8.2718670704631403E-2</v>
      </c>
      <c r="B5" s="468"/>
      <c r="C5" s="469">
        <v>165672.59</v>
      </c>
      <c r="D5" s="469"/>
      <c r="E5" s="470">
        <v>672378.79100047005</v>
      </c>
      <c r="F5" s="470"/>
      <c r="G5" s="471">
        <v>132.18904109588999</v>
      </c>
      <c r="H5" s="471"/>
      <c r="I5" s="468">
        <v>0.187</v>
      </c>
      <c r="J5" s="468"/>
    </row>
    <row r="6" spans="1:11" ht="12.75" customHeight="1" x14ac:dyDescent="0.35">
      <c r="A6" s="464" t="s">
        <v>484</v>
      </c>
      <c r="B6" s="464"/>
      <c r="C6" s="465" t="s">
        <v>485</v>
      </c>
      <c r="D6" s="465"/>
      <c r="E6" s="466" t="s">
        <v>486</v>
      </c>
      <c r="F6" s="466"/>
      <c r="G6" s="467" t="s">
        <v>487</v>
      </c>
      <c r="H6" s="467"/>
      <c r="I6" s="464" t="s">
        <v>488</v>
      </c>
      <c r="J6" s="464"/>
    </row>
    <row r="7" spans="1:11" ht="9.7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21.75" customHeight="1" x14ac:dyDescent="0.35">
      <c r="A8" s="458" t="s">
        <v>489</v>
      </c>
      <c r="B8" s="458"/>
      <c r="C8" s="458"/>
      <c r="D8" s="458"/>
      <c r="E8" s="458"/>
      <c r="F8" s="458"/>
      <c r="G8" s="458"/>
      <c r="H8" s="458"/>
      <c r="I8" s="458"/>
      <c r="J8" s="458"/>
      <c r="K8" s="458"/>
    </row>
    <row r="9" spans="1:11" ht="31.5" customHeight="1" x14ac:dyDescent="0.35">
      <c r="A9" s="314" t="s">
        <v>490</v>
      </c>
      <c r="B9" s="304" t="s">
        <v>491</v>
      </c>
      <c r="C9" s="304" t="s">
        <v>492</v>
      </c>
      <c r="D9" s="306" t="s">
        <v>493</v>
      </c>
      <c r="E9" s="306" t="s">
        <v>494</v>
      </c>
      <c r="F9" s="309" t="s">
        <v>495</v>
      </c>
      <c r="G9" s="315" t="s">
        <v>496</v>
      </c>
      <c r="H9" s="307" t="s">
        <v>497</v>
      </c>
      <c r="I9" s="314" t="s">
        <v>498</v>
      </c>
      <c r="J9" s="314" t="s">
        <v>499</v>
      </c>
      <c r="K9" s="304" t="s">
        <v>500</v>
      </c>
    </row>
    <row r="10" spans="1:11" ht="15.75" customHeight="1" x14ac:dyDescent="0.35">
      <c r="A10" s="209" t="s">
        <v>501</v>
      </c>
      <c r="B10" s="210" t="s">
        <v>502</v>
      </c>
      <c r="C10" s="196" t="s">
        <v>503</v>
      </c>
      <c r="D10" s="313">
        <v>40</v>
      </c>
      <c r="E10" s="183">
        <v>6.1</v>
      </c>
      <c r="F10" s="212">
        <v>33.9</v>
      </c>
      <c r="G10" s="213">
        <v>29.66</v>
      </c>
      <c r="H10" s="214">
        <v>0.14291428571428599</v>
      </c>
      <c r="I10" s="196" t="s">
        <v>504</v>
      </c>
      <c r="J10" s="196" t="s">
        <v>504</v>
      </c>
      <c r="K10" s="292" t="s">
        <v>505</v>
      </c>
    </row>
    <row r="11" spans="1:11" ht="15.75" customHeight="1" x14ac:dyDescent="0.35">
      <c r="A11" s="209" t="s">
        <v>501</v>
      </c>
      <c r="B11" s="210" t="s">
        <v>506</v>
      </c>
      <c r="C11" s="196" t="s">
        <v>507</v>
      </c>
      <c r="D11" s="211">
        <v>65</v>
      </c>
      <c r="E11" s="183">
        <v>9.92</v>
      </c>
      <c r="F11" s="212">
        <v>55.08</v>
      </c>
      <c r="G11" s="213">
        <v>50.85</v>
      </c>
      <c r="H11" s="214">
        <v>8.3239999999999995E-2</v>
      </c>
      <c r="I11" s="196" t="s">
        <v>504</v>
      </c>
      <c r="J11" s="196" t="s">
        <v>504</v>
      </c>
      <c r="K11" s="292" t="s">
        <v>508</v>
      </c>
    </row>
    <row r="12" spans="1:11" ht="15.75" customHeight="1" x14ac:dyDescent="0.35">
      <c r="A12" s="209" t="s">
        <v>501</v>
      </c>
      <c r="B12" s="210" t="s">
        <v>509</v>
      </c>
      <c r="C12" s="196" t="s">
        <v>504</v>
      </c>
      <c r="D12" s="211">
        <v>150</v>
      </c>
      <c r="E12" s="183">
        <v>22.88</v>
      </c>
      <c r="F12" s="212">
        <v>127.12</v>
      </c>
      <c r="G12" s="213" t="s">
        <v>504</v>
      </c>
      <c r="H12" s="216" t="s">
        <v>510</v>
      </c>
      <c r="I12" s="196" t="s">
        <v>504</v>
      </c>
      <c r="J12" s="196" t="s">
        <v>504</v>
      </c>
      <c r="K12" s="292" t="s">
        <v>511</v>
      </c>
    </row>
    <row r="13" spans="1:11" ht="15.75" customHeight="1" x14ac:dyDescent="0.35">
      <c r="A13" s="209" t="s">
        <v>512</v>
      </c>
      <c r="B13" s="210" t="s">
        <v>513</v>
      </c>
      <c r="C13" s="196" t="s">
        <v>514</v>
      </c>
      <c r="D13" s="211">
        <v>40</v>
      </c>
      <c r="E13" s="183">
        <v>6.1</v>
      </c>
      <c r="F13" s="212">
        <v>33.9</v>
      </c>
      <c r="G13" s="213" t="s">
        <v>504</v>
      </c>
      <c r="H13" s="216" t="s">
        <v>510</v>
      </c>
      <c r="I13" s="196" t="s">
        <v>504</v>
      </c>
      <c r="J13" s="196" t="s">
        <v>504</v>
      </c>
      <c r="K13" s="292" t="s">
        <v>515</v>
      </c>
    </row>
    <row r="14" spans="1:11" ht="15.75" customHeight="1" x14ac:dyDescent="0.35">
      <c r="A14" s="209" t="s">
        <v>516</v>
      </c>
      <c r="B14" s="210" t="s">
        <v>517</v>
      </c>
      <c r="C14" s="196" t="s">
        <v>504</v>
      </c>
      <c r="D14" s="211" t="s">
        <v>504</v>
      </c>
      <c r="E14" s="183" t="s">
        <v>504</v>
      </c>
      <c r="F14" s="212" t="s">
        <v>504</v>
      </c>
      <c r="G14" s="213" t="s">
        <v>504</v>
      </c>
      <c r="H14" s="217" t="s">
        <v>504</v>
      </c>
      <c r="I14" s="218">
        <v>350</v>
      </c>
      <c r="J14" s="219">
        <v>296.61</v>
      </c>
      <c r="K14" s="292" t="s">
        <v>518</v>
      </c>
    </row>
    <row r="15" spans="1:11" ht="15.75" customHeight="1" x14ac:dyDescent="0.35">
      <c r="A15" s="209" t="s">
        <v>519</v>
      </c>
      <c r="B15" s="210" t="s">
        <v>520</v>
      </c>
      <c r="C15" s="196" t="s">
        <v>514</v>
      </c>
      <c r="D15" s="211">
        <v>60</v>
      </c>
      <c r="E15" s="183">
        <v>9.15</v>
      </c>
      <c r="F15" s="212">
        <v>50.85</v>
      </c>
      <c r="G15" s="213" t="s">
        <v>504</v>
      </c>
      <c r="H15" s="216" t="s">
        <v>510</v>
      </c>
      <c r="I15" s="196" t="s">
        <v>504</v>
      </c>
      <c r="J15" s="196" t="s">
        <v>504</v>
      </c>
      <c r="K15" s="292" t="s">
        <v>521</v>
      </c>
    </row>
    <row r="16" spans="1:11" ht="15.75" customHeight="1" x14ac:dyDescent="0.35">
      <c r="A16" s="209" t="s">
        <v>522</v>
      </c>
      <c r="B16" s="210" t="s">
        <v>523</v>
      </c>
      <c r="C16" s="196" t="s">
        <v>514</v>
      </c>
      <c r="D16" s="211">
        <v>30</v>
      </c>
      <c r="E16" s="183">
        <v>4.58</v>
      </c>
      <c r="F16" s="212">
        <v>25.42</v>
      </c>
      <c r="G16" s="213">
        <v>25.42</v>
      </c>
      <c r="H16" s="217" t="s">
        <v>504</v>
      </c>
      <c r="I16" s="218">
        <v>250</v>
      </c>
      <c r="J16" s="219">
        <v>211.86</v>
      </c>
      <c r="K16" s="292" t="s">
        <v>518</v>
      </c>
    </row>
    <row r="17" spans="1:11" ht="15.75" customHeight="1" x14ac:dyDescent="0.35">
      <c r="A17" s="209" t="s">
        <v>524</v>
      </c>
      <c r="B17" s="210" t="s">
        <v>525</v>
      </c>
      <c r="C17" s="196" t="s">
        <v>504</v>
      </c>
      <c r="D17" s="211">
        <v>20</v>
      </c>
      <c r="E17" s="183">
        <v>3.05</v>
      </c>
      <c r="F17" s="212">
        <v>16.95</v>
      </c>
      <c r="G17" s="213" t="s">
        <v>504</v>
      </c>
      <c r="H17" s="216" t="s">
        <v>510</v>
      </c>
      <c r="I17" s="218">
        <v>200</v>
      </c>
      <c r="J17" s="219">
        <v>169.49</v>
      </c>
      <c r="K17" s="292" t="s">
        <v>518</v>
      </c>
    </row>
    <row r="18" spans="1:11" ht="15.75" customHeight="1" x14ac:dyDescent="0.35">
      <c r="A18" s="209" t="s">
        <v>526</v>
      </c>
      <c r="B18" s="210" t="s">
        <v>527</v>
      </c>
      <c r="C18" s="196" t="s">
        <v>514</v>
      </c>
      <c r="D18" s="211">
        <v>80</v>
      </c>
      <c r="E18" s="183">
        <v>12.2</v>
      </c>
      <c r="F18" s="212">
        <v>67.8</v>
      </c>
      <c r="G18" s="213" t="s">
        <v>504</v>
      </c>
      <c r="H18" s="216" t="s">
        <v>510</v>
      </c>
      <c r="I18" s="196" t="s">
        <v>504</v>
      </c>
      <c r="J18" s="196" t="s">
        <v>504</v>
      </c>
      <c r="K18" s="292" t="s">
        <v>528</v>
      </c>
    </row>
    <row r="19" spans="1:11" ht="15.75" customHeight="1" x14ac:dyDescent="0.35">
      <c r="A19" s="209" t="s">
        <v>529</v>
      </c>
      <c r="B19" s="210" t="s">
        <v>530</v>
      </c>
      <c r="C19" s="196" t="s">
        <v>531</v>
      </c>
      <c r="D19" s="211">
        <v>300</v>
      </c>
      <c r="E19" s="183">
        <v>45.76</v>
      </c>
      <c r="F19" s="212">
        <v>254.24</v>
      </c>
      <c r="G19" s="213" t="s">
        <v>504</v>
      </c>
      <c r="H19" s="216" t="s">
        <v>510</v>
      </c>
      <c r="I19" s="196" t="s">
        <v>504</v>
      </c>
      <c r="J19" s="196" t="s">
        <v>504</v>
      </c>
      <c r="K19" s="292" t="s">
        <v>532</v>
      </c>
    </row>
    <row r="20" spans="1:11" ht="15.75" customHeight="1" x14ac:dyDescent="0.35">
      <c r="A20" s="209" t="s">
        <v>529</v>
      </c>
      <c r="B20" s="210" t="s">
        <v>533</v>
      </c>
      <c r="C20" s="196" t="s">
        <v>534</v>
      </c>
      <c r="D20" s="211">
        <v>450</v>
      </c>
      <c r="E20" s="183">
        <v>68.64</v>
      </c>
      <c r="F20" s="212">
        <v>381.36</v>
      </c>
      <c r="G20" s="213" t="s">
        <v>504</v>
      </c>
      <c r="H20" s="216" t="s">
        <v>510</v>
      </c>
      <c r="I20" s="196" t="s">
        <v>504</v>
      </c>
      <c r="J20" s="196" t="s">
        <v>504</v>
      </c>
      <c r="K20" s="292" t="s">
        <v>535</v>
      </c>
    </row>
    <row r="21" spans="1:11" ht="15.75" customHeight="1" x14ac:dyDescent="0.35">
      <c r="A21" s="209" t="s">
        <v>536</v>
      </c>
      <c r="B21" s="210" t="s">
        <v>537</v>
      </c>
      <c r="C21" s="196" t="s">
        <v>538</v>
      </c>
      <c r="D21" s="211">
        <v>380</v>
      </c>
      <c r="E21" s="183">
        <v>57.97</v>
      </c>
      <c r="F21" s="212">
        <v>322.02999999999997</v>
      </c>
      <c r="G21" s="213" t="s">
        <v>504</v>
      </c>
      <c r="H21" s="216" t="s">
        <v>510</v>
      </c>
      <c r="I21" s="196" t="s">
        <v>504</v>
      </c>
      <c r="J21" s="196" t="s">
        <v>504</v>
      </c>
      <c r="K21" s="292" t="s">
        <v>539</v>
      </c>
    </row>
    <row r="22" spans="1:11" ht="15.75" customHeight="1" x14ac:dyDescent="0.35">
      <c r="A22" s="209" t="s">
        <v>536</v>
      </c>
      <c r="B22" s="210" t="s">
        <v>540</v>
      </c>
      <c r="C22" s="196" t="s">
        <v>541</v>
      </c>
      <c r="D22" s="211">
        <v>760</v>
      </c>
      <c r="E22" s="183">
        <v>115.93</v>
      </c>
      <c r="F22" s="212">
        <v>644.07000000000005</v>
      </c>
      <c r="G22" s="213" t="s">
        <v>504</v>
      </c>
      <c r="H22" s="216" t="s">
        <v>510</v>
      </c>
      <c r="I22" s="196" t="s">
        <v>504</v>
      </c>
      <c r="J22" s="196" t="s">
        <v>504</v>
      </c>
      <c r="K22" s="292" t="s">
        <v>542</v>
      </c>
    </row>
    <row r="23" spans="1:11" ht="15.75" customHeight="1" x14ac:dyDescent="0.35">
      <c r="A23" s="209" t="s">
        <v>543</v>
      </c>
      <c r="B23" s="210" t="s">
        <v>544</v>
      </c>
      <c r="C23" s="196" t="s">
        <v>504</v>
      </c>
      <c r="D23" s="220" t="s">
        <v>545</v>
      </c>
      <c r="E23" s="220" t="s">
        <v>504</v>
      </c>
      <c r="F23" s="220" t="s">
        <v>504</v>
      </c>
      <c r="G23" s="220" t="s">
        <v>504</v>
      </c>
      <c r="H23" s="220" t="s">
        <v>504</v>
      </c>
      <c r="I23" s="220" t="s">
        <v>504</v>
      </c>
      <c r="K23" s="292" t="s">
        <v>546</v>
      </c>
    </row>
    <row r="24" spans="1:11" ht="15.75" customHeight="1" x14ac:dyDescent="0.35">
      <c r="A24" s="209" t="s">
        <v>543</v>
      </c>
      <c r="B24" s="210" t="s">
        <v>547</v>
      </c>
      <c r="C24" s="196" t="s">
        <v>504</v>
      </c>
      <c r="D24" s="220" t="s">
        <v>545</v>
      </c>
      <c r="E24" s="220" t="s">
        <v>504</v>
      </c>
      <c r="F24" s="220" t="s">
        <v>504</v>
      </c>
      <c r="G24" s="220" t="s">
        <v>504</v>
      </c>
      <c r="H24" s="220" t="s">
        <v>504</v>
      </c>
      <c r="I24" s="220" t="s">
        <v>504</v>
      </c>
      <c r="K24" s="292" t="s">
        <v>548</v>
      </c>
    </row>
    <row r="25" spans="1:11" ht="7.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21.75" customHeight="1" x14ac:dyDescent="0.35">
      <c r="A26" s="437" t="s">
        <v>549</v>
      </c>
      <c r="B26" s="437"/>
      <c r="C26" s="437"/>
      <c r="D26" s="437"/>
      <c r="E26" s="437"/>
      <c r="F26" s="437"/>
      <c r="G26" s="437"/>
      <c r="H26" s="437"/>
      <c r="I26" s="437"/>
      <c r="J26" s="437"/>
      <c r="K26" s="437"/>
    </row>
    <row r="27" spans="1:11" ht="31.5" customHeight="1" x14ac:dyDescent="0.35">
      <c r="A27" s="304" t="s">
        <v>490</v>
      </c>
      <c r="B27" s="304" t="s">
        <v>550</v>
      </c>
      <c r="C27" s="309" t="s">
        <v>551</v>
      </c>
      <c r="D27" s="310" t="s">
        <v>552</v>
      </c>
      <c r="E27" s="307" t="s">
        <v>553</v>
      </c>
      <c r="F27" s="307" t="s">
        <v>554</v>
      </c>
      <c r="G27" s="305" t="s">
        <v>431</v>
      </c>
      <c r="H27" s="306" t="s">
        <v>555</v>
      </c>
      <c r="I27" s="309" t="s">
        <v>556</v>
      </c>
      <c r="J27" s="304"/>
      <c r="K27" s="304" t="s">
        <v>432</v>
      </c>
    </row>
    <row r="28" spans="1:11" ht="15.75" customHeight="1" x14ac:dyDescent="0.35">
      <c r="A28" s="205" t="s">
        <v>501</v>
      </c>
      <c r="B28" s="210" t="s">
        <v>557</v>
      </c>
      <c r="C28" s="166">
        <v>33.9</v>
      </c>
      <c r="D28" s="312">
        <v>3200</v>
      </c>
      <c r="E28" s="222">
        <f t="shared" ref="E28:E40" si="0">C28*D28</f>
        <v>108480</v>
      </c>
      <c r="F28" s="222">
        <f t="shared" ref="F28:F40" si="1">E28*12</f>
        <v>1301760</v>
      </c>
      <c r="G28" s="223">
        <f>IFERROR(E28/E43,0)</f>
        <v>0.5145973351751566</v>
      </c>
      <c r="H28" s="224">
        <f t="shared" ref="H28:H40" si="2">E28*0.0528</f>
        <v>5727.7439999999997</v>
      </c>
      <c r="I28" s="187">
        <f t="shared" ref="I28:I40" si="3">E28-H28</f>
        <v>102752.25599999999</v>
      </c>
      <c r="J28" s="120"/>
      <c r="K28" s="225" t="s">
        <v>558</v>
      </c>
    </row>
    <row r="29" spans="1:11" ht="15.75" customHeight="1" x14ac:dyDescent="0.35">
      <c r="A29" s="205" t="s">
        <v>501</v>
      </c>
      <c r="B29" s="210" t="s">
        <v>559</v>
      </c>
      <c r="C29" s="166">
        <v>55.08</v>
      </c>
      <c r="D29" s="221">
        <v>1100</v>
      </c>
      <c r="E29" s="222">
        <f t="shared" si="0"/>
        <v>60588</v>
      </c>
      <c r="F29" s="222">
        <f t="shared" si="1"/>
        <v>727056</v>
      </c>
      <c r="G29" s="223">
        <f>IFERROR(E29/E43,0)</f>
        <v>0.28741171961276168</v>
      </c>
      <c r="H29" s="224">
        <f t="shared" si="2"/>
        <v>3199.0464000000002</v>
      </c>
      <c r="I29" s="187">
        <f t="shared" si="3"/>
        <v>57388.953600000001</v>
      </c>
      <c r="J29" s="120"/>
      <c r="K29" s="225" t="s">
        <v>560</v>
      </c>
    </row>
    <row r="30" spans="1:11" ht="15.75" customHeight="1" x14ac:dyDescent="0.35">
      <c r="A30" s="205" t="s">
        <v>501</v>
      </c>
      <c r="B30" s="210" t="s">
        <v>561</v>
      </c>
      <c r="C30" s="166">
        <v>127.12</v>
      </c>
      <c r="D30" s="221">
        <v>10</v>
      </c>
      <c r="E30" s="222">
        <f t="shared" si="0"/>
        <v>1271.2</v>
      </c>
      <c r="F30" s="222">
        <f t="shared" si="1"/>
        <v>15254.400000000001</v>
      </c>
      <c r="G30" s="223">
        <f>IFERROR(E30/E43,0)</f>
        <v>6.0302003362339516E-3</v>
      </c>
      <c r="H30" s="224">
        <f t="shared" si="2"/>
        <v>67.11936</v>
      </c>
      <c r="I30" s="187">
        <f t="shared" si="3"/>
        <v>1204.0806400000001</v>
      </c>
      <c r="J30" s="120"/>
      <c r="K30" s="225" t="s">
        <v>562</v>
      </c>
    </row>
    <row r="31" spans="1:11" ht="15.75" customHeight="1" x14ac:dyDescent="0.35">
      <c r="A31" s="205" t="s">
        <v>512</v>
      </c>
      <c r="B31" s="210" t="s">
        <v>563</v>
      </c>
      <c r="C31" s="166">
        <v>33.9</v>
      </c>
      <c r="D31" s="221">
        <v>90</v>
      </c>
      <c r="E31" s="222">
        <f t="shared" si="0"/>
        <v>3051</v>
      </c>
      <c r="F31" s="222">
        <f t="shared" si="1"/>
        <v>36612</v>
      </c>
      <c r="G31" s="223">
        <f>IFERROR(E31/E43,0)</f>
        <v>1.4473050051801278E-2</v>
      </c>
      <c r="H31" s="224">
        <f t="shared" si="2"/>
        <v>161.09280000000001</v>
      </c>
      <c r="I31" s="187">
        <f t="shared" si="3"/>
        <v>2889.9072000000001</v>
      </c>
      <c r="J31" s="120"/>
      <c r="K31" s="225" t="s">
        <v>564</v>
      </c>
    </row>
    <row r="32" spans="1:11" ht="15.75" customHeight="1" x14ac:dyDescent="0.35">
      <c r="A32" s="205" t="s">
        <v>516</v>
      </c>
      <c r="B32" s="210" t="s">
        <v>565</v>
      </c>
      <c r="C32" s="166">
        <v>296.61</v>
      </c>
      <c r="D32" s="221">
        <v>70</v>
      </c>
      <c r="E32" s="222">
        <f t="shared" si="0"/>
        <v>20762.7</v>
      </c>
      <c r="F32" s="222">
        <f t="shared" si="1"/>
        <v>249152.40000000002</v>
      </c>
      <c r="G32" s="223">
        <f>IFERROR(E32/E43,0)</f>
        <v>9.8492165293521602E-2</v>
      </c>
      <c r="H32" s="224">
        <f t="shared" si="2"/>
        <v>1096.2705599999999</v>
      </c>
      <c r="I32" s="187">
        <f t="shared" si="3"/>
        <v>19666.42944</v>
      </c>
      <c r="J32" s="120"/>
      <c r="K32" s="225" t="s">
        <v>566</v>
      </c>
    </row>
    <row r="33" spans="1:11" ht="15.75" customHeight="1" x14ac:dyDescent="0.35">
      <c r="A33" s="205" t="s">
        <v>519</v>
      </c>
      <c r="B33" s="210" t="s">
        <v>567</v>
      </c>
      <c r="C33" s="166">
        <v>50.85</v>
      </c>
      <c r="D33" s="221">
        <v>60</v>
      </c>
      <c r="E33" s="222">
        <f t="shared" si="0"/>
        <v>3051</v>
      </c>
      <c r="F33" s="222">
        <f t="shared" si="1"/>
        <v>36612</v>
      </c>
      <c r="G33" s="223">
        <f>IFERROR(E33/E43,0)</f>
        <v>1.4473050051801278E-2</v>
      </c>
      <c r="H33" s="224">
        <f t="shared" si="2"/>
        <v>161.09280000000001</v>
      </c>
      <c r="I33" s="187">
        <f t="shared" si="3"/>
        <v>2889.9072000000001</v>
      </c>
      <c r="J33" s="120"/>
      <c r="K33" s="225" t="s">
        <v>568</v>
      </c>
    </row>
    <row r="34" spans="1:11" ht="15.75" customHeight="1" x14ac:dyDescent="0.35">
      <c r="A34" s="205" t="s">
        <v>522</v>
      </c>
      <c r="B34" s="210" t="s">
        <v>569</v>
      </c>
      <c r="C34" s="166">
        <v>25.42</v>
      </c>
      <c r="D34" s="221">
        <v>10</v>
      </c>
      <c r="E34" s="222">
        <f t="shared" si="0"/>
        <v>254.20000000000002</v>
      </c>
      <c r="F34" s="222">
        <f t="shared" si="1"/>
        <v>3050.4</v>
      </c>
      <c r="G34" s="223">
        <f>IFERROR(E34/E43,0)</f>
        <v>1.2058503189668584E-3</v>
      </c>
      <c r="H34" s="224">
        <f t="shared" si="2"/>
        <v>13.421760000000001</v>
      </c>
      <c r="I34" s="187">
        <f t="shared" si="3"/>
        <v>240.77824000000001</v>
      </c>
      <c r="J34" s="120"/>
      <c r="K34" s="225" t="s">
        <v>570</v>
      </c>
    </row>
    <row r="35" spans="1:11" ht="15.75" customHeight="1" x14ac:dyDescent="0.35">
      <c r="A35" s="205" t="s">
        <v>524</v>
      </c>
      <c r="B35" s="210" t="s">
        <v>571</v>
      </c>
      <c r="C35" s="166">
        <v>16.95</v>
      </c>
      <c r="D35" s="221">
        <v>10</v>
      </c>
      <c r="E35" s="222">
        <f t="shared" si="0"/>
        <v>169.5</v>
      </c>
      <c r="F35" s="222">
        <f t="shared" si="1"/>
        <v>2034</v>
      </c>
      <c r="G35" s="223">
        <f>IFERROR(E35/E43,0)</f>
        <v>8.0405833621118212E-4</v>
      </c>
      <c r="H35" s="224">
        <f t="shared" si="2"/>
        <v>8.9496000000000002</v>
      </c>
      <c r="I35" s="187">
        <f t="shared" si="3"/>
        <v>160.5504</v>
      </c>
      <c r="J35" s="120"/>
      <c r="K35" s="225" t="s">
        <v>572</v>
      </c>
    </row>
    <row r="36" spans="1:11" ht="15.75" customHeight="1" x14ac:dyDescent="0.35">
      <c r="A36" s="205" t="s">
        <v>526</v>
      </c>
      <c r="B36" s="210" t="s">
        <v>573</v>
      </c>
      <c r="C36" s="166">
        <v>67.8</v>
      </c>
      <c r="D36" s="221">
        <v>10</v>
      </c>
      <c r="E36" s="222">
        <f t="shared" si="0"/>
        <v>678</v>
      </c>
      <c r="F36" s="222">
        <f t="shared" si="1"/>
        <v>8136</v>
      </c>
      <c r="G36" s="223">
        <f>IFERROR(E36/E43,0)</f>
        <v>3.2162333448447285E-3</v>
      </c>
      <c r="H36" s="224">
        <f t="shared" si="2"/>
        <v>35.798400000000001</v>
      </c>
      <c r="I36" s="187">
        <f t="shared" si="3"/>
        <v>642.20159999999998</v>
      </c>
      <c r="J36" s="120"/>
      <c r="K36" s="225" t="s">
        <v>574</v>
      </c>
    </row>
    <row r="37" spans="1:11" ht="15.75" customHeight="1" x14ac:dyDescent="0.35">
      <c r="A37" s="205" t="s">
        <v>529</v>
      </c>
      <c r="B37" s="210" t="s">
        <v>575</v>
      </c>
      <c r="C37" s="166">
        <v>254.24</v>
      </c>
      <c r="D37" s="221">
        <v>10</v>
      </c>
      <c r="E37" s="222">
        <f t="shared" si="0"/>
        <v>2542.4</v>
      </c>
      <c r="F37" s="222">
        <f t="shared" si="1"/>
        <v>30508.800000000003</v>
      </c>
      <c r="G37" s="223">
        <f>IFERROR(E37/E43,0)</f>
        <v>1.2060400672467903E-2</v>
      </c>
      <c r="H37" s="224">
        <f t="shared" si="2"/>
        <v>134.23872</v>
      </c>
      <c r="I37" s="187">
        <f t="shared" si="3"/>
        <v>2408.1612800000003</v>
      </c>
      <c r="J37" s="120"/>
      <c r="K37" s="225" t="s">
        <v>576</v>
      </c>
    </row>
    <row r="38" spans="1:11" ht="15.75" customHeight="1" x14ac:dyDescent="0.35">
      <c r="A38" s="205" t="s">
        <v>529</v>
      </c>
      <c r="B38" s="210" t="s">
        <v>577</v>
      </c>
      <c r="C38" s="166">
        <v>381.36</v>
      </c>
      <c r="D38" s="221">
        <v>5</v>
      </c>
      <c r="E38" s="222">
        <f t="shared" si="0"/>
        <v>1906.8000000000002</v>
      </c>
      <c r="F38" s="222">
        <f t="shared" si="1"/>
        <v>22881.600000000002</v>
      </c>
      <c r="G38" s="223">
        <f>IFERROR(E38/E43,0)</f>
        <v>9.0453005043509283E-3</v>
      </c>
      <c r="H38" s="224">
        <f t="shared" si="2"/>
        <v>100.67904000000001</v>
      </c>
      <c r="I38" s="187">
        <f t="shared" si="3"/>
        <v>1806.1209600000002</v>
      </c>
      <c r="J38" s="120"/>
      <c r="K38" s="225" t="s">
        <v>578</v>
      </c>
    </row>
    <row r="39" spans="1:11" ht="15.75" customHeight="1" x14ac:dyDescent="0.35">
      <c r="A39" s="205" t="s">
        <v>536</v>
      </c>
      <c r="B39" s="210" t="s">
        <v>579</v>
      </c>
      <c r="C39" s="166">
        <v>322.02999999999997</v>
      </c>
      <c r="D39" s="221">
        <v>15</v>
      </c>
      <c r="E39" s="222">
        <f t="shared" si="0"/>
        <v>4830.45</v>
      </c>
      <c r="F39" s="222">
        <f t="shared" si="1"/>
        <v>57965.399999999994</v>
      </c>
      <c r="G39" s="223">
        <f>IFERROR(E39/E43,0)</f>
        <v>2.29142394699192E-2</v>
      </c>
      <c r="H39" s="224">
        <f t="shared" si="2"/>
        <v>255.04775999999998</v>
      </c>
      <c r="I39" s="187">
        <f t="shared" si="3"/>
        <v>4575.4022399999994</v>
      </c>
      <c r="J39" s="120"/>
      <c r="K39" s="225" t="s">
        <v>580</v>
      </c>
    </row>
    <row r="40" spans="1:11" ht="15.75" customHeight="1" x14ac:dyDescent="0.35">
      <c r="A40" s="205" t="s">
        <v>536</v>
      </c>
      <c r="B40" s="210" t="s">
        <v>581</v>
      </c>
      <c r="C40" s="166">
        <v>644.07000000000005</v>
      </c>
      <c r="D40" s="221">
        <v>5</v>
      </c>
      <c r="E40" s="222">
        <f t="shared" si="0"/>
        <v>3220.3500000000004</v>
      </c>
      <c r="F40" s="222">
        <f t="shared" si="1"/>
        <v>38644.200000000004</v>
      </c>
      <c r="G40" s="223">
        <f>IFERROR(E40/E43,0)</f>
        <v>1.5276396831962717E-2</v>
      </c>
      <c r="H40" s="224">
        <f t="shared" si="2"/>
        <v>170.03448000000003</v>
      </c>
      <c r="I40" s="187">
        <f t="shared" si="3"/>
        <v>3050.3155200000001</v>
      </c>
      <c r="J40" s="120"/>
      <c r="K40" s="225" t="s">
        <v>582</v>
      </c>
    </row>
    <row r="41" spans="1:11" ht="15.75" customHeight="1" x14ac:dyDescent="0.35">
      <c r="A41" s="205" t="s">
        <v>543</v>
      </c>
      <c r="B41" s="210" t="s">
        <v>583</v>
      </c>
      <c r="C41" s="166" t="s">
        <v>504</v>
      </c>
      <c r="D41" s="221">
        <v>0</v>
      </c>
      <c r="E41" s="226" t="s">
        <v>545</v>
      </c>
      <c r="F41" s="227" t="s">
        <v>504</v>
      </c>
      <c r="G41" s="227" t="s">
        <v>504</v>
      </c>
      <c r="H41" s="227" t="s">
        <v>504</v>
      </c>
      <c r="I41" s="227" t="s">
        <v>504</v>
      </c>
      <c r="J41" s="120"/>
      <c r="K41" s="225" t="s">
        <v>584</v>
      </c>
    </row>
    <row r="42" spans="1:11" ht="15.75" customHeight="1" x14ac:dyDescent="0.35">
      <c r="A42" s="205" t="s">
        <v>543</v>
      </c>
      <c r="B42" s="210" t="s">
        <v>585</v>
      </c>
      <c r="C42" s="166" t="s">
        <v>504</v>
      </c>
      <c r="D42" s="221">
        <v>0</v>
      </c>
      <c r="E42" s="226" t="s">
        <v>545</v>
      </c>
      <c r="F42" s="227" t="s">
        <v>504</v>
      </c>
      <c r="G42" s="227" t="s">
        <v>504</v>
      </c>
      <c r="H42" s="227" t="s">
        <v>504</v>
      </c>
      <c r="I42" s="227" t="s">
        <v>504</v>
      </c>
      <c r="J42" s="120"/>
      <c r="K42" s="225" t="s">
        <v>586</v>
      </c>
    </row>
    <row r="43" spans="1:11" ht="21.75" customHeight="1" x14ac:dyDescent="0.35">
      <c r="A43" s="190" t="s">
        <v>437</v>
      </c>
      <c r="B43" s="191"/>
      <c r="C43" s="191"/>
      <c r="D43" s="191"/>
      <c r="E43" s="228">
        <f>E28+E29+E30+E31+E32+E33+E34+E35+E36+E37+E38+E39+E40</f>
        <v>210805.60000000003</v>
      </c>
      <c r="F43" s="228">
        <f>F28+F29+F30+F31+F32+F33+F34+F35+F36+F37+F38+F39+F40</f>
        <v>2529667.1999999997</v>
      </c>
      <c r="G43" s="191"/>
      <c r="H43" s="228">
        <f>E43*0.0528</f>
        <v>11130.535680000003</v>
      </c>
      <c r="I43" s="228">
        <f>E43-H43</f>
        <v>199675.06432000003</v>
      </c>
      <c r="J43" s="191"/>
      <c r="K43" s="191"/>
    </row>
    <row r="44" spans="1:11" ht="7.5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21.75" customHeight="1" x14ac:dyDescent="0.35">
      <c r="A45" s="460" t="s">
        <v>587</v>
      </c>
      <c r="B45" s="460"/>
      <c r="C45" s="460"/>
      <c r="D45" s="460"/>
      <c r="E45" s="460"/>
      <c r="F45" s="460"/>
      <c r="G45" s="460"/>
      <c r="H45" s="460"/>
      <c r="I45" s="460"/>
      <c r="J45" s="460"/>
      <c r="K45" s="460"/>
    </row>
    <row r="46" spans="1:11" ht="23" x14ac:dyDescent="0.35">
      <c r="A46" s="304" t="s">
        <v>2</v>
      </c>
      <c r="B46" s="305" t="s">
        <v>588</v>
      </c>
      <c r="C46" s="309" t="s">
        <v>589</v>
      </c>
      <c r="D46" s="307" t="s">
        <v>590</v>
      </c>
      <c r="E46" s="310" t="s">
        <v>591</v>
      </c>
      <c r="F46" s="304" t="s">
        <v>592</v>
      </c>
      <c r="G46" s="311"/>
      <c r="H46" s="311"/>
      <c r="I46" s="311"/>
      <c r="J46" s="311"/>
      <c r="K46" s="311"/>
    </row>
    <row r="47" spans="1:11" ht="15" customHeight="1" x14ac:dyDescent="0.35">
      <c r="A47" s="85" t="s">
        <v>463</v>
      </c>
      <c r="B47" s="104">
        <v>166903.66333333301</v>
      </c>
      <c r="C47" s="229">
        <v>214009.11</v>
      </c>
      <c r="D47" s="107">
        <v>214009.11</v>
      </c>
      <c r="E47" s="230">
        <v>222935.229250039</v>
      </c>
      <c r="F47" s="215" t="s">
        <v>593</v>
      </c>
    </row>
    <row r="48" spans="1:11" ht="16.5" customHeight="1" x14ac:dyDescent="0.35">
      <c r="A48" s="135" t="s">
        <v>594</v>
      </c>
      <c r="B48" s="231">
        <v>2002843.96</v>
      </c>
      <c r="C48" s="186">
        <v>2568109.3199999998</v>
      </c>
      <c r="D48" s="90">
        <v>2568109.3199999998</v>
      </c>
      <c r="E48" s="232">
        <v>2675222.75100047</v>
      </c>
      <c r="F48" s="215" t="s">
        <v>595</v>
      </c>
    </row>
    <row r="49" spans="1:11" ht="15" customHeight="1" x14ac:dyDescent="0.35">
      <c r="A49" s="85" t="s">
        <v>596</v>
      </c>
      <c r="B49" s="104">
        <v>1731471.98</v>
      </c>
      <c r="C49" s="229">
        <v>1731471.98</v>
      </c>
      <c r="D49" s="107">
        <v>1611471.98</v>
      </c>
      <c r="E49" s="230">
        <v>1731471.98</v>
      </c>
      <c r="F49" s="215" t="s">
        <v>597</v>
      </c>
    </row>
    <row r="50" spans="1:11" ht="15" customHeight="1" x14ac:dyDescent="0.35">
      <c r="A50" s="85" t="s">
        <v>598</v>
      </c>
      <c r="B50" s="104">
        <v>105699.39</v>
      </c>
      <c r="C50" s="229">
        <v>135531.07181515801</v>
      </c>
      <c r="D50" s="107">
        <v>135531.07181515801</v>
      </c>
      <c r="E50" s="230">
        <v>141183.945700329</v>
      </c>
      <c r="F50" s="215" t="s">
        <v>599</v>
      </c>
    </row>
    <row r="51" spans="1:11" ht="16.5" customHeight="1" x14ac:dyDescent="0.35">
      <c r="A51" s="135" t="s">
        <v>464</v>
      </c>
      <c r="B51" s="231">
        <v>165672.59</v>
      </c>
      <c r="C51" s="186">
        <v>701106.26818484196</v>
      </c>
      <c r="D51" s="90">
        <v>821106.26818484196</v>
      </c>
      <c r="E51" s="232">
        <v>802566.825300141</v>
      </c>
      <c r="F51" s="215" t="s">
        <v>600</v>
      </c>
    </row>
    <row r="52" spans="1:11" ht="16.5" customHeight="1" x14ac:dyDescent="0.35">
      <c r="A52" s="135" t="s">
        <v>465</v>
      </c>
      <c r="B52" s="233">
        <v>8.2718670704631403E-2</v>
      </c>
      <c r="C52" s="129">
        <v>0.27300483773208001</v>
      </c>
      <c r="D52" s="234">
        <v>0.31973182052267202</v>
      </c>
      <c r="E52" s="235">
        <v>0.3</v>
      </c>
      <c r="F52" s="215" t="s">
        <v>601</v>
      </c>
    </row>
    <row r="53" spans="1:11" ht="15" customHeight="1" x14ac:dyDescent="0.35">
      <c r="A53" s="85" t="s">
        <v>602</v>
      </c>
      <c r="B53" s="236">
        <v>4020.75</v>
      </c>
      <c r="C53" s="237">
        <v>186.232116371681</v>
      </c>
      <c r="D53" s="238">
        <v>186.232116371681</v>
      </c>
      <c r="E53" s="239">
        <v>193.99968327068299</v>
      </c>
      <c r="F53" s="215" t="s">
        <v>603</v>
      </c>
    </row>
    <row r="54" spans="1:11" ht="7.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21.75" customHeight="1" x14ac:dyDescent="0.35">
      <c r="A55" s="432" t="s">
        <v>604</v>
      </c>
      <c r="B55" s="432"/>
      <c r="C55" s="432"/>
      <c r="D55" s="432"/>
      <c r="E55" s="432"/>
      <c r="F55" s="432"/>
      <c r="G55" s="432"/>
      <c r="H55" s="432"/>
      <c r="I55" s="432"/>
      <c r="J55" s="432"/>
      <c r="K55" s="432"/>
    </row>
    <row r="56" spans="1:11" ht="27.75" customHeight="1" x14ac:dyDescent="0.35">
      <c r="A56" s="304" t="s">
        <v>605</v>
      </c>
      <c r="B56" s="305" t="s">
        <v>606</v>
      </c>
      <c r="C56" s="305" t="s">
        <v>443</v>
      </c>
      <c r="D56" s="306" t="s">
        <v>607</v>
      </c>
      <c r="E56" s="307" t="s">
        <v>608</v>
      </c>
      <c r="F56" s="308" t="s">
        <v>609</v>
      </c>
      <c r="G56" s="304" t="s">
        <v>610</v>
      </c>
      <c r="H56" s="304" t="s">
        <v>611</v>
      </c>
    </row>
    <row r="57" spans="1:11" ht="60" x14ac:dyDescent="0.35">
      <c r="A57" s="284" t="s">
        <v>767</v>
      </c>
      <c r="B57" s="104">
        <v>583542.5</v>
      </c>
      <c r="C57" s="240">
        <v>0.29099999999999998</v>
      </c>
      <c r="D57" s="286" t="s">
        <v>768</v>
      </c>
      <c r="E57" s="242" t="s">
        <v>612</v>
      </c>
      <c r="F57" s="243" t="s">
        <v>613</v>
      </c>
      <c r="G57" s="244" t="s">
        <v>614</v>
      </c>
      <c r="H57" s="245" t="s">
        <v>615</v>
      </c>
    </row>
    <row r="58" spans="1:11" ht="48" x14ac:dyDescent="0.35">
      <c r="A58" s="284" t="s">
        <v>766</v>
      </c>
      <c r="B58" s="104">
        <v>238552.34</v>
      </c>
      <c r="C58" s="240">
        <v>0.11899999999999999</v>
      </c>
      <c r="D58" s="286" t="s">
        <v>769</v>
      </c>
      <c r="E58" s="242" t="s">
        <v>616</v>
      </c>
      <c r="F58" s="243" t="s">
        <v>613</v>
      </c>
      <c r="G58" s="244" t="s">
        <v>774</v>
      </c>
      <c r="H58" s="245" t="s">
        <v>617</v>
      </c>
    </row>
    <row r="59" spans="1:11" ht="60" x14ac:dyDescent="0.35">
      <c r="A59" s="284" t="s">
        <v>770</v>
      </c>
      <c r="B59" s="104">
        <v>209000</v>
      </c>
      <c r="C59" s="240">
        <v>0.104</v>
      </c>
      <c r="D59" s="241" t="s">
        <v>618</v>
      </c>
      <c r="E59" s="242" t="s">
        <v>619</v>
      </c>
      <c r="F59" s="246" t="s">
        <v>620</v>
      </c>
      <c r="G59" s="244" t="s">
        <v>775</v>
      </c>
      <c r="H59" s="245" t="s">
        <v>621</v>
      </c>
    </row>
    <row r="60" spans="1:11" ht="96" x14ac:dyDescent="0.35">
      <c r="A60" s="284" t="s">
        <v>765</v>
      </c>
      <c r="B60" s="104">
        <v>280134.96000000002</v>
      </c>
      <c r="C60" s="240">
        <v>0.14000000000000001</v>
      </c>
      <c r="D60" s="241" t="s">
        <v>776</v>
      </c>
      <c r="E60" s="242" t="s">
        <v>622</v>
      </c>
      <c r="F60" s="246" t="s">
        <v>620</v>
      </c>
      <c r="G60" s="244" t="s">
        <v>779</v>
      </c>
      <c r="H60" s="245" t="s">
        <v>623</v>
      </c>
    </row>
    <row r="61" spans="1:11" ht="72" x14ac:dyDescent="0.35">
      <c r="A61" s="284" t="s">
        <v>760</v>
      </c>
      <c r="B61" s="104">
        <v>517339.64</v>
      </c>
      <c r="C61" s="240">
        <v>0.25800000000000001</v>
      </c>
      <c r="D61" s="241" t="s">
        <v>777</v>
      </c>
      <c r="E61" s="242" t="s">
        <v>624</v>
      </c>
      <c r="F61" s="247" t="s">
        <v>625</v>
      </c>
      <c r="G61" s="244" t="s">
        <v>778</v>
      </c>
      <c r="H61" s="245" t="s">
        <v>626</v>
      </c>
    </row>
    <row r="62" spans="1:11" ht="60" x14ac:dyDescent="0.35">
      <c r="A62" s="284" t="s">
        <v>759</v>
      </c>
      <c r="B62" s="104">
        <v>42784.83</v>
      </c>
      <c r="C62" s="240">
        <v>2.1000000000000001E-2</v>
      </c>
      <c r="D62" s="241" t="s">
        <v>627</v>
      </c>
      <c r="E62" s="242" t="s">
        <v>628</v>
      </c>
      <c r="F62" s="247" t="s">
        <v>625</v>
      </c>
      <c r="G62" s="244" t="s">
        <v>629</v>
      </c>
      <c r="H62" s="245" t="s">
        <v>780</v>
      </c>
    </row>
    <row r="63" spans="1:11" ht="48" x14ac:dyDescent="0.35">
      <c r="A63" s="284" t="s">
        <v>758</v>
      </c>
      <c r="B63" s="104">
        <v>39953.440000000002</v>
      </c>
      <c r="C63" s="240">
        <v>0.02</v>
      </c>
      <c r="D63" s="241" t="s">
        <v>781</v>
      </c>
      <c r="E63" s="242" t="s">
        <v>630</v>
      </c>
      <c r="F63" s="247" t="s">
        <v>625</v>
      </c>
      <c r="G63" s="244" t="s">
        <v>631</v>
      </c>
      <c r="H63" s="245" t="s">
        <v>632</v>
      </c>
    </row>
    <row r="64" spans="1:11" ht="60" x14ac:dyDescent="0.35">
      <c r="A64" s="284" t="s">
        <v>761</v>
      </c>
      <c r="B64" s="104">
        <v>24000</v>
      </c>
      <c r="C64" s="240">
        <v>1.2E-2</v>
      </c>
      <c r="D64" s="241" t="s">
        <v>633</v>
      </c>
      <c r="E64" s="242" t="s">
        <v>634</v>
      </c>
      <c r="F64" s="248" t="s">
        <v>635</v>
      </c>
      <c r="G64" s="244" t="s">
        <v>783</v>
      </c>
      <c r="H64" s="245" t="s">
        <v>636</v>
      </c>
    </row>
    <row r="65" spans="1:11" ht="60" x14ac:dyDescent="0.35">
      <c r="A65" s="284" t="s">
        <v>762</v>
      </c>
      <c r="B65" s="104">
        <v>7550</v>
      </c>
      <c r="C65" s="240">
        <v>4.0000000000000001E-3</v>
      </c>
      <c r="D65" s="241" t="s">
        <v>782</v>
      </c>
      <c r="E65" s="242" t="s">
        <v>637</v>
      </c>
      <c r="F65" s="248" t="s">
        <v>635</v>
      </c>
      <c r="G65" s="244" t="s">
        <v>779</v>
      </c>
      <c r="H65" s="245" t="s">
        <v>784</v>
      </c>
    </row>
    <row r="66" spans="1:11" ht="60" x14ac:dyDescent="0.35">
      <c r="A66" s="285" t="s">
        <v>763</v>
      </c>
      <c r="B66" s="104" t="s">
        <v>638</v>
      </c>
      <c r="C66" s="240" t="s">
        <v>504</v>
      </c>
      <c r="D66" s="241" t="s">
        <v>785</v>
      </c>
      <c r="E66" s="242" t="s">
        <v>639</v>
      </c>
      <c r="F66" s="243" t="s">
        <v>613</v>
      </c>
      <c r="G66" s="283" t="s">
        <v>755</v>
      </c>
      <c r="H66" s="278" t="s">
        <v>757</v>
      </c>
    </row>
    <row r="67" spans="1:11" ht="72" x14ac:dyDescent="0.35">
      <c r="A67" s="285" t="s">
        <v>764</v>
      </c>
      <c r="B67" s="104" t="s">
        <v>638</v>
      </c>
      <c r="C67" s="240" t="s">
        <v>504</v>
      </c>
      <c r="D67" s="241" t="s">
        <v>786</v>
      </c>
      <c r="E67" s="242" t="s">
        <v>640</v>
      </c>
      <c r="F67" s="243" t="s">
        <v>613</v>
      </c>
      <c r="G67" s="244" t="s">
        <v>631</v>
      </c>
      <c r="H67" s="278" t="s">
        <v>756</v>
      </c>
    </row>
    <row r="68" spans="1:11" ht="7.5" customHeight="1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21.75" customHeight="1" x14ac:dyDescent="0.35">
      <c r="A69" s="440" t="s">
        <v>641</v>
      </c>
      <c r="B69" s="440"/>
      <c r="C69" s="440"/>
      <c r="D69" s="440"/>
      <c r="E69" s="440"/>
      <c r="F69" s="440"/>
      <c r="G69" s="440"/>
      <c r="H69" s="440"/>
      <c r="I69" s="440"/>
      <c r="J69" s="440"/>
      <c r="K69" s="440"/>
    </row>
    <row r="70" spans="1:11" ht="21.75" customHeight="1" x14ac:dyDescent="0.35">
      <c r="A70" s="249" t="s">
        <v>642</v>
      </c>
      <c r="B70" s="250" t="s">
        <v>643</v>
      </c>
      <c r="C70" s="251" t="s">
        <v>644</v>
      </c>
      <c r="D70" s="252" t="s">
        <v>645</v>
      </c>
      <c r="E70" s="249" t="s">
        <v>646</v>
      </c>
    </row>
    <row r="71" spans="1:11" ht="23" x14ac:dyDescent="0.35">
      <c r="A71" s="253" t="s">
        <v>647</v>
      </c>
      <c r="B71" s="254" t="s">
        <v>648</v>
      </c>
      <c r="C71" s="255" t="s">
        <v>649</v>
      </c>
      <c r="D71" s="256" t="s">
        <v>650</v>
      </c>
      <c r="E71" s="257" t="s">
        <v>651</v>
      </c>
    </row>
    <row r="72" spans="1:11" ht="23" x14ac:dyDescent="0.35">
      <c r="A72" s="258" t="s">
        <v>652</v>
      </c>
      <c r="B72" s="254" t="s">
        <v>653</v>
      </c>
      <c r="C72" s="255" t="s">
        <v>649</v>
      </c>
      <c r="D72" s="256" t="s">
        <v>654</v>
      </c>
      <c r="E72" s="279" t="s">
        <v>753</v>
      </c>
    </row>
    <row r="73" spans="1:11" ht="23" x14ac:dyDescent="0.35">
      <c r="A73" s="253" t="s">
        <v>655</v>
      </c>
      <c r="B73" s="254" t="s">
        <v>656</v>
      </c>
      <c r="C73" s="255" t="s">
        <v>657</v>
      </c>
      <c r="D73" s="256" t="s">
        <v>658</v>
      </c>
      <c r="E73" s="257" t="s">
        <v>659</v>
      </c>
    </row>
    <row r="74" spans="1:11" ht="31.5" x14ac:dyDescent="0.35">
      <c r="A74" s="258" t="s">
        <v>660</v>
      </c>
      <c r="B74" s="254" t="s">
        <v>661</v>
      </c>
      <c r="C74" s="255" t="s">
        <v>657</v>
      </c>
      <c r="D74" s="256" t="s">
        <v>654</v>
      </c>
      <c r="E74" s="278" t="s">
        <v>752</v>
      </c>
    </row>
    <row r="75" spans="1:11" ht="23" x14ac:dyDescent="0.35">
      <c r="A75" s="253" t="s">
        <v>662</v>
      </c>
      <c r="B75" s="254" t="s">
        <v>653</v>
      </c>
      <c r="C75" s="255" t="s">
        <v>657</v>
      </c>
      <c r="D75" s="256" t="s">
        <v>663</v>
      </c>
      <c r="E75" s="257" t="s">
        <v>664</v>
      </c>
    </row>
    <row r="76" spans="1:11" ht="23" x14ac:dyDescent="0.35">
      <c r="A76" s="293" t="s">
        <v>787</v>
      </c>
      <c r="B76" s="254" t="s">
        <v>665</v>
      </c>
      <c r="C76" s="255" t="s">
        <v>657</v>
      </c>
      <c r="D76" s="256" t="s">
        <v>650</v>
      </c>
      <c r="E76" s="257" t="s">
        <v>751</v>
      </c>
    </row>
    <row r="77" spans="1:11" ht="23" x14ac:dyDescent="0.35">
      <c r="A77" s="277" t="s">
        <v>666</v>
      </c>
      <c r="B77" s="254" t="s">
        <v>667</v>
      </c>
      <c r="C77" s="255" t="s">
        <v>649</v>
      </c>
      <c r="D77" s="256" t="s">
        <v>650</v>
      </c>
      <c r="E77" s="257" t="s">
        <v>668</v>
      </c>
    </row>
    <row r="78" spans="1:11" ht="17" x14ac:dyDescent="0.35">
      <c r="A78" s="280" t="s">
        <v>669</v>
      </c>
      <c r="B78" s="259" t="s">
        <v>670</v>
      </c>
      <c r="C78" s="281" t="s">
        <v>671</v>
      </c>
      <c r="D78" s="260" t="s">
        <v>672</v>
      </c>
      <c r="E78" s="282" t="s">
        <v>754</v>
      </c>
    </row>
  </sheetData>
  <mergeCells count="22">
    <mergeCell ref="A1:K1"/>
    <mergeCell ref="A2:K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K8"/>
    <mergeCell ref="A26:K26"/>
    <mergeCell ref="A45:K45"/>
    <mergeCell ref="A55:K55"/>
    <mergeCell ref="A69:K6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27A0"/>
  </sheetPr>
  <dimension ref="A1:G54"/>
  <sheetViews>
    <sheetView showGridLines="0" zoomScaleNormal="100" workbookViewId="0">
      <selection activeCell="D42" sqref="D42"/>
    </sheetView>
  </sheetViews>
  <sheetFormatPr baseColWidth="10" defaultColWidth="8.6328125" defaultRowHeight="14.5" x14ac:dyDescent="0.35"/>
  <cols>
    <col min="1" max="1" width="36" customWidth="1"/>
    <col min="2" max="2" width="14" customWidth="1"/>
    <col min="3" max="4" width="13" customWidth="1"/>
    <col min="5" max="5" width="14" customWidth="1"/>
    <col min="6" max="6" width="11" customWidth="1"/>
    <col min="7" max="7" width="22" customWidth="1"/>
  </cols>
  <sheetData>
    <row r="1" spans="1:7" ht="30" customHeight="1" x14ac:dyDescent="0.35">
      <c r="A1" s="483" t="s">
        <v>416</v>
      </c>
      <c r="B1" s="483"/>
      <c r="C1" s="483"/>
      <c r="D1" s="483"/>
      <c r="E1" s="483"/>
      <c r="F1" s="483"/>
      <c r="G1" s="483"/>
    </row>
    <row r="2" spans="1:7" ht="13.5" hidden="1" customHeight="1" x14ac:dyDescent="0.35">
      <c r="A2" s="484"/>
      <c r="B2" s="484"/>
      <c r="C2" s="484"/>
      <c r="D2" s="484"/>
      <c r="E2" s="484"/>
      <c r="F2" s="484"/>
      <c r="G2" s="484"/>
    </row>
    <row r="3" spans="1:7" ht="7.5" customHeight="1" x14ac:dyDescent="0.35">
      <c r="A3" s="115"/>
      <c r="B3" s="115"/>
      <c r="C3" s="115"/>
      <c r="D3" s="115"/>
      <c r="E3" s="115"/>
      <c r="F3" s="115"/>
      <c r="G3" s="115"/>
    </row>
    <row r="4" spans="1:7" ht="24" customHeight="1" x14ac:dyDescent="0.35">
      <c r="A4" s="437" t="s">
        <v>417</v>
      </c>
      <c r="B4" s="437"/>
      <c r="C4" s="437"/>
      <c r="D4" s="437"/>
      <c r="E4" s="437"/>
      <c r="F4" s="437"/>
      <c r="G4" s="437"/>
    </row>
    <row r="5" spans="1:7" ht="27.75" customHeight="1" x14ac:dyDescent="0.35">
      <c r="A5" s="304" t="s">
        <v>418</v>
      </c>
      <c r="B5" s="314" t="s">
        <v>419</v>
      </c>
      <c r="C5" s="316" t="s">
        <v>420</v>
      </c>
      <c r="D5" s="309" t="s">
        <v>421</v>
      </c>
      <c r="E5" s="317" t="s">
        <v>272</v>
      </c>
      <c r="F5" s="304"/>
      <c r="G5" s="304"/>
    </row>
    <row r="6" spans="1:7" ht="18" customHeight="1" x14ac:dyDescent="0.35">
      <c r="A6" s="167" t="s">
        <v>274</v>
      </c>
      <c r="B6" s="182">
        <v>40</v>
      </c>
      <c r="C6" s="183">
        <f t="shared" ref="C6:C12" si="0">ROUND(B6*$B$13/(1+$B$13),2)</f>
        <v>6.1</v>
      </c>
      <c r="D6" s="184">
        <f t="shared" ref="D6:D12" si="1">ROUND(B6/(1+$B$13),2)</f>
        <v>33.9</v>
      </c>
      <c r="E6" s="482"/>
      <c r="F6" s="482"/>
      <c r="G6" s="482"/>
    </row>
    <row r="7" spans="1:7" ht="18" customHeight="1" x14ac:dyDescent="0.35">
      <c r="A7" s="167" t="s">
        <v>277</v>
      </c>
      <c r="B7" s="182">
        <v>70</v>
      </c>
      <c r="C7" s="183">
        <f t="shared" si="0"/>
        <v>10.68</v>
      </c>
      <c r="D7" s="184">
        <f t="shared" si="1"/>
        <v>59.32</v>
      </c>
      <c r="E7" s="482"/>
      <c r="F7" s="482"/>
      <c r="G7" s="482"/>
    </row>
    <row r="8" spans="1:7" ht="18" customHeight="1" x14ac:dyDescent="0.35">
      <c r="A8" s="167" t="s">
        <v>280</v>
      </c>
      <c r="B8" s="182">
        <v>220</v>
      </c>
      <c r="C8" s="183">
        <f t="shared" si="0"/>
        <v>33.56</v>
      </c>
      <c r="D8" s="184">
        <f t="shared" si="1"/>
        <v>186.44</v>
      </c>
      <c r="E8" s="482"/>
      <c r="F8" s="482"/>
      <c r="G8" s="482"/>
    </row>
    <row r="9" spans="1:7" ht="18" customHeight="1" x14ac:dyDescent="0.35">
      <c r="A9" s="167" t="s">
        <v>283</v>
      </c>
      <c r="B9" s="182">
        <v>350</v>
      </c>
      <c r="C9" s="183">
        <f t="shared" si="0"/>
        <v>53.39</v>
      </c>
      <c r="D9" s="184">
        <f t="shared" si="1"/>
        <v>296.61</v>
      </c>
      <c r="E9" s="482"/>
      <c r="F9" s="482"/>
      <c r="G9" s="482"/>
    </row>
    <row r="10" spans="1:7" ht="18" customHeight="1" x14ac:dyDescent="0.35">
      <c r="A10" s="167" t="s">
        <v>286</v>
      </c>
      <c r="B10" s="182">
        <v>60</v>
      </c>
      <c r="C10" s="183">
        <f t="shared" si="0"/>
        <v>9.15</v>
      </c>
      <c r="D10" s="184">
        <f t="shared" si="1"/>
        <v>50.85</v>
      </c>
      <c r="E10" s="482"/>
      <c r="F10" s="482"/>
      <c r="G10" s="482"/>
    </row>
    <row r="11" spans="1:7" ht="18" customHeight="1" x14ac:dyDescent="0.35">
      <c r="A11" s="85" t="s">
        <v>422</v>
      </c>
      <c r="B11" s="182">
        <v>0</v>
      </c>
      <c r="C11" s="183">
        <f t="shared" si="0"/>
        <v>0</v>
      </c>
      <c r="D11" s="184">
        <f t="shared" si="1"/>
        <v>0</v>
      </c>
      <c r="E11" s="482"/>
      <c r="F11" s="482"/>
      <c r="G11" s="482"/>
    </row>
    <row r="12" spans="1:7" ht="18" customHeight="1" thickBot="1" x14ac:dyDescent="0.4">
      <c r="A12" s="85" t="s">
        <v>423</v>
      </c>
      <c r="B12" s="182">
        <v>0</v>
      </c>
      <c r="C12" s="183">
        <f t="shared" si="0"/>
        <v>0</v>
      </c>
      <c r="D12" s="184">
        <f t="shared" si="1"/>
        <v>0</v>
      </c>
      <c r="E12" s="482"/>
      <c r="F12" s="482"/>
      <c r="G12" s="482"/>
    </row>
    <row r="13" spans="1:7" ht="21.75" customHeight="1" x14ac:dyDescent="0.35">
      <c r="A13" s="318" t="s">
        <v>424</v>
      </c>
      <c r="B13" s="319">
        <v>0.18</v>
      </c>
      <c r="C13" s="481" t="s">
        <v>425</v>
      </c>
      <c r="D13" s="481"/>
      <c r="E13" s="481"/>
      <c r="F13" s="481"/>
      <c r="G13" s="481"/>
    </row>
    <row r="14" spans="1:7" ht="24" customHeight="1" x14ac:dyDescent="0.35">
      <c r="A14" s="461" t="s">
        <v>426</v>
      </c>
      <c r="B14" s="461"/>
      <c r="C14" s="461"/>
      <c r="D14" s="461"/>
      <c r="E14" s="461"/>
      <c r="F14" s="461"/>
      <c r="G14" s="461"/>
    </row>
    <row r="15" spans="1:7" ht="30" customHeight="1" x14ac:dyDescent="0.35">
      <c r="A15" s="305" t="s">
        <v>427</v>
      </c>
      <c r="B15" s="310" t="s">
        <v>428</v>
      </c>
      <c r="C15" s="309" t="s">
        <v>421</v>
      </c>
      <c r="D15" s="305" t="s">
        <v>429</v>
      </c>
      <c r="E15" s="309" t="s">
        <v>430</v>
      </c>
      <c r="F15" s="305" t="s">
        <v>431</v>
      </c>
      <c r="G15" s="304" t="s">
        <v>432</v>
      </c>
    </row>
    <row r="16" spans="1:7" ht="18" customHeight="1" x14ac:dyDescent="0.35">
      <c r="A16" s="85" t="s">
        <v>274</v>
      </c>
      <c r="B16" s="185">
        <v>3820</v>
      </c>
      <c r="C16" s="166">
        <f t="shared" ref="C16:C22" si="2">D6</f>
        <v>33.9</v>
      </c>
      <c r="D16" s="186">
        <f t="shared" ref="D16:D22" si="3">B16*C16</f>
        <v>129498</v>
      </c>
      <c r="E16" s="187">
        <f t="shared" ref="E16:E23" si="4">D16*12</f>
        <v>1553976</v>
      </c>
      <c r="F16" s="188">
        <f>IFERROR(D16/D23,0)</f>
        <v>0.58638092735560887</v>
      </c>
      <c r="G16" s="189" t="s">
        <v>433</v>
      </c>
    </row>
    <row r="17" spans="1:7" ht="18" customHeight="1" x14ac:dyDescent="0.35">
      <c r="A17" s="85" t="s">
        <v>277</v>
      </c>
      <c r="B17" s="185">
        <v>1342</v>
      </c>
      <c r="C17" s="166">
        <f t="shared" si="2"/>
        <v>59.32</v>
      </c>
      <c r="D17" s="186">
        <f t="shared" si="3"/>
        <v>79607.44</v>
      </c>
      <c r="E17" s="187">
        <f t="shared" si="4"/>
        <v>955289.28</v>
      </c>
      <c r="F17" s="188">
        <f>IFERROR(D17/D23,0)</f>
        <v>0.36047108443069387</v>
      </c>
      <c r="G17" s="189" t="s">
        <v>434</v>
      </c>
    </row>
    <row r="18" spans="1:7" ht="18" customHeight="1" x14ac:dyDescent="0.35">
      <c r="A18" s="85" t="s">
        <v>280</v>
      </c>
      <c r="B18" s="185">
        <v>15</v>
      </c>
      <c r="C18" s="166">
        <f t="shared" si="2"/>
        <v>186.44</v>
      </c>
      <c r="D18" s="186">
        <f t="shared" si="3"/>
        <v>2796.6</v>
      </c>
      <c r="E18" s="187">
        <f t="shared" si="4"/>
        <v>33559.199999999997</v>
      </c>
      <c r="F18" s="188">
        <f>IFERROR(D18/D23,0)</f>
        <v>1.2663306780357193E-2</v>
      </c>
      <c r="G18" s="189" t="s">
        <v>435</v>
      </c>
    </row>
    <row r="19" spans="1:7" ht="18" customHeight="1" x14ac:dyDescent="0.35">
      <c r="A19" s="85" t="s">
        <v>283</v>
      </c>
      <c r="B19" s="185">
        <v>25</v>
      </c>
      <c r="C19" s="166">
        <f t="shared" si="2"/>
        <v>296.61</v>
      </c>
      <c r="D19" s="186">
        <f t="shared" si="3"/>
        <v>7415.25</v>
      </c>
      <c r="E19" s="187">
        <f t="shared" si="4"/>
        <v>88983</v>
      </c>
      <c r="F19" s="188">
        <f>IFERROR(D19/D23,0)</f>
        <v>3.3577052707946677E-2</v>
      </c>
      <c r="G19" s="189" t="s">
        <v>435</v>
      </c>
    </row>
    <row r="20" spans="1:7" ht="18" customHeight="1" x14ac:dyDescent="0.35">
      <c r="A20" s="85" t="s">
        <v>286</v>
      </c>
      <c r="B20" s="185">
        <v>30</v>
      </c>
      <c r="C20" s="166">
        <f t="shared" si="2"/>
        <v>50.85</v>
      </c>
      <c r="D20" s="186">
        <f t="shared" si="3"/>
        <v>1525.5</v>
      </c>
      <c r="E20" s="187">
        <f t="shared" si="4"/>
        <v>18306</v>
      </c>
      <c r="F20" s="188">
        <f>IFERROR(D20/D23,0)</f>
        <v>6.9076287253932991E-3</v>
      </c>
      <c r="G20" s="189" t="s">
        <v>435</v>
      </c>
    </row>
    <row r="21" spans="1:7" ht="18" customHeight="1" x14ac:dyDescent="0.35">
      <c r="A21" s="85" t="s">
        <v>422</v>
      </c>
      <c r="B21" s="185">
        <v>0</v>
      </c>
      <c r="C21" s="166">
        <f t="shared" si="2"/>
        <v>0</v>
      </c>
      <c r="D21" s="186">
        <f t="shared" si="3"/>
        <v>0</v>
      </c>
      <c r="E21" s="187">
        <f t="shared" si="4"/>
        <v>0</v>
      </c>
      <c r="F21" s="188">
        <f>IFERROR(D21/D23,0)</f>
        <v>0</v>
      </c>
      <c r="G21" s="189" t="s">
        <v>436</v>
      </c>
    </row>
    <row r="22" spans="1:7" ht="18" customHeight="1" x14ac:dyDescent="0.35">
      <c r="A22" s="85" t="s">
        <v>423</v>
      </c>
      <c r="B22" s="185">
        <v>0</v>
      </c>
      <c r="C22" s="166">
        <f t="shared" si="2"/>
        <v>0</v>
      </c>
      <c r="D22" s="186">
        <f t="shared" si="3"/>
        <v>0</v>
      </c>
      <c r="E22" s="187">
        <f t="shared" si="4"/>
        <v>0</v>
      </c>
      <c r="F22" s="188">
        <f>IFERROR(D22/D23,0)</f>
        <v>0</v>
      </c>
      <c r="G22" s="189" t="s">
        <v>436</v>
      </c>
    </row>
    <row r="23" spans="1:7" ht="21.75" customHeight="1" x14ac:dyDescent="0.35">
      <c r="A23" s="190" t="s">
        <v>437</v>
      </c>
      <c r="B23" s="191"/>
      <c r="C23" s="191"/>
      <c r="D23" s="276">
        <f>D16+D17+D18+D19+D20+D21+D22</f>
        <v>220842.79</v>
      </c>
      <c r="E23" s="276">
        <f t="shared" si="4"/>
        <v>2650113.48</v>
      </c>
      <c r="F23" s="192" t="s">
        <v>438</v>
      </c>
      <c r="G23" s="191"/>
    </row>
    <row r="24" spans="1:7" ht="15.75" customHeight="1" x14ac:dyDescent="0.35">
      <c r="A24" s="193" t="s">
        <v>439</v>
      </c>
      <c r="B24" s="120"/>
      <c r="C24" s="120"/>
      <c r="D24" s="194">
        <f>IFERROR(D23/SUM(B16:B20),0)</f>
        <v>42.210013379204895</v>
      </c>
      <c r="E24" s="120"/>
      <c r="F24" s="120"/>
      <c r="G24" s="120"/>
    </row>
    <row r="25" spans="1:7" ht="4.5" customHeight="1" x14ac:dyDescent="0.35">
      <c r="A25" s="7"/>
      <c r="B25" s="7"/>
      <c r="C25" s="7"/>
      <c r="D25" s="7"/>
      <c r="E25" s="7"/>
      <c r="F25" s="7"/>
      <c r="G25" s="7"/>
    </row>
    <row r="26" spans="1:7" ht="24" customHeight="1" x14ac:dyDescent="0.35">
      <c r="A26" s="437" t="s">
        <v>440</v>
      </c>
      <c r="B26" s="437"/>
      <c r="C26" s="437"/>
      <c r="D26" s="437"/>
      <c r="E26" s="437"/>
      <c r="F26" s="437"/>
      <c r="G26" s="437"/>
    </row>
    <row r="27" spans="1:7" ht="21.75" customHeight="1" x14ac:dyDescent="0.35">
      <c r="A27" s="304" t="s">
        <v>2</v>
      </c>
      <c r="B27" s="305" t="s">
        <v>441</v>
      </c>
      <c r="C27" s="305" t="s">
        <v>442</v>
      </c>
      <c r="D27" s="304" t="s">
        <v>443</v>
      </c>
      <c r="E27" s="304"/>
      <c r="F27" s="310" t="s">
        <v>444</v>
      </c>
      <c r="G27" s="304" t="s">
        <v>445</v>
      </c>
    </row>
    <row r="28" spans="1:7" ht="19.5" customHeight="1" x14ac:dyDescent="0.35">
      <c r="A28" s="167" t="s">
        <v>446</v>
      </c>
      <c r="B28" s="195">
        <v>5.28E-2</v>
      </c>
      <c r="C28" s="196" t="s">
        <v>447</v>
      </c>
      <c r="D28" s="478" t="s">
        <v>448</v>
      </c>
      <c r="E28" s="478"/>
      <c r="F28" s="478"/>
      <c r="G28" s="478"/>
    </row>
    <row r="29" spans="1:7" ht="16.5" customHeight="1" x14ac:dyDescent="0.35">
      <c r="A29" s="193" t="s">
        <v>449</v>
      </c>
      <c r="B29" s="172">
        <f>ROUND(D23*B28,0)</f>
        <v>11660</v>
      </c>
      <c r="C29" s="172">
        <f>B29*12</f>
        <v>139920</v>
      </c>
      <c r="D29" s="197">
        <f>IFERROR(B29/D23,0)</f>
        <v>5.2797739061347666E-2</v>
      </c>
      <c r="E29" s="120"/>
      <c r="F29" s="120"/>
      <c r="G29" s="120"/>
    </row>
    <row r="30" spans="1:7" ht="18" customHeight="1" x14ac:dyDescent="0.35">
      <c r="A30" s="198" t="s">
        <v>450</v>
      </c>
      <c r="B30" s="151">
        <f>D23-B29</f>
        <v>209182.79</v>
      </c>
      <c r="C30" s="187">
        <f>B30*12</f>
        <v>2510193.48</v>
      </c>
      <c r="D30" s="199">
        <f>IFERROR(B30/D23,0)</f>
        <v>0.94720226093865234</v>
      </c>
      <c r="E30" s="120"/>
      <c r="F30" s="120"/>
      <c r="G30" s="120"/>
    </row>
    <row r="31" spans="1:7" ht="3.75" customHeight="1" x14ac:dyDescent="0.35">
      <c r="A31" s="7"/>
      <c r="B31" s="7"/>
      <c r="C31" s="7"/>
      <c r="D31" s="7"/>
      <c r="E31" s="7"/>
      <c r="F31" s="7"/>
      <c r="G31" s="7"/>
    </row>
    <row r="32" spans="1:7" ht="19.5" customHeight="1" x14ac:dyDescent="0.35">
      <c r="A32" s="167" t="s">
        <v>451</v>
      </c>
      <c r="B32" s="200">
        <v>42954</v>
      </c>
      <c r="C32" s="196" t="s">
        <v>452</v>
      </c>
      <c r="D32" s="477" t="s">
        <v>789</v>
      </c>
      <c r="E32" s="478"/>
      <c r="F32" s="478"/>
      <c r="G32" s="478"/>
    </row>
    <row r="33" spans="1:7" ht="19.5" customHeight="1" x14ac:dyDescent="0.35">
      <c r="A33" s="167" t="s">
        <v>453</v>
      </c>
      <c r="B33" s="200">
        <v>43112</v>
      </c>
      <c r="C33" s="196" t="s">
        <v>452</v>
      </c>
      <c r="D33" s="477" t="s">
        <v>789</v>
      </c>
      <c r="E33" s="478"/>
      <c r="F33" s="478"/>
      <c r="G33" s="478"/>
    </row>
    <row r="34" spans="1:7" ht="19.5" customHeight="1" x14ac:dyDescent="0.35">
      <c r="A34" s="167" t="s">
        <v>454</v>
      </c>
      <c r="B34" s="200">
        <v>6327</v>
      </c>
      <c r="C34" s="196" t="s">
        <v>452</v>
      </c>
      <c r="D34" s="477" t="s">
        <v>789</v>
      </c>
      <c r="E34" s="478"/>
      <c r="F34" s="478"/>
      <c r="G34" s="478"/>
    </row>
    <row r="35" spans="1:7" ht="19.5" customHeight="1" x14ac:dyDescent="0.35">
      <c r="A35" s="167" t="s">
        <v>455</v>
      </c>
      <c r="B35" s="200">
        <v>51896</v>
      </c>
      <c r="C35" s="196" t="s">
        <v>452</v>
      </c>
      <c r="D35" s="477" t="s">
        <v>789</v>
      </c>
      <c r="E35" s="478"/>
      <c r="F35" s="478"/>
      <c r="G35" s="478"/>
    </row>
    <row r="36" spans="1:7" ht="18" customHeight="1" x14ac:dyDescent="0.35">
      <c r="A36" s="201" t="s">
        <v>456</v>
      </c>
      <c r="B36" s="202">
        <f>B32+B33+B34+B35</f>
        <v>144289</v>
      </c>
      <c r="C36" s="128">
        <f>B36*12</f>
        <v>1731468</v>
      </c>
      <c r="D36" s="197">
        <f>IFERROR(B36/D23,0)</f>
        <v>0.653356172506243</v>
      </c>
      <c r="E36" s="120"/>
      <c r="F36" s="120"/>
      <c r="G36" s="120"/>
    </row>
    <row r="37" spans="1:7" ht="7.5" customHeight="1" x14ac:dyDescent="0.35">
      <c r="A37" s="7"/>
      <c r="B37" s="7"/>
      <c r="C37" s="7"/>
      <c r="D37" s="7"/>
      <c r="E37" s="7"/>
      <c r="F37" s="7"/>
      <c r="G37" s="7"/>
    </row>
    <row r="38" spans="1:7" ht="25.5" customHeight="1" x14ac:dyDescent="0.35">
      <c r="A38" s="320" t="s">
        <v>457</v>
      </c>
      <c r="B38" s="321">
        <f>B30-B36</f>
        <v>64893.790000000008</v>
      </c>
      <c r="C38" s="321">
        <f>B38*12</f>
        <v>778725.4800000001</v>
      </c>
      <c r="D38" s="322">
        <f>IFERROR(B38/D23,0)</f>
        <v>0.29384608843240934</v>
      </c>
      <c r="E38" s="323"/>
      <c r="F38" s="323"/>
      <c r="G38" s="323"/>
    </row>
    <row r="39" spans="1:7" ht="7.5" customHeight="1" x14ac:dyDescent="0.35">
      <c r="A39" s="7"/>
      <c r="B39" s="7"/>
      <c r="C39" s="7"/>
      <c r="D39" s="7"/>
      <c r="E39" s="7"/>
      <c r="F39" s="7"/>
      <c r="G39" s="7"/>
    </row>
    <row r="40" spans="1:7" ht="24" customHeight="1" x14ac:dyDescent="0.35">
      <c r="A40" s="479" t="s">
        <v>458</v>
      </c>
      <c r="B40" s="479"/>
      <c r="C40" s="479"/>
      <c r="D40" s="479"/>
      <c r="E40" s="479"/>
      <c r="F40" s="479"/>
      <c r="G40" s="479"/>
    </row>
    <row r="41" spans="1:7" ht="21.75" customHeight="1" x14ac:dyDescent="0.35">
      <c r="A41" s="309" t="s">
        <v>255</v>
      </c>
      <c r="B41" s="309" t="s">
        <v>459</v>
      </c>
      <c r="C41" s="309" t="s">
        <v>460</v>
      </c>
      <c r="D41" s="307" t="s">
        <v>461</v>
      </c>
      <c r="E41" s="307" t="s">
        <v>462</v>
      </c>
      <c r="F41" s="309"/>
      <c r="G41" s="309"/>
    </row>
    <row r="42" spans="1:7" ht="18" customHeight="1" x14ac:dyDescent="0.35">
      <c r="A42" s="167" t="s">
        <v>463</v>
      </c>
      <c r="B42" s="151">
        <f>D23</f>
        <v>220842.79</v>
      </c>
      <c r="C42" s="203">
        <v>166904</v>
      </c>
      <c r="D42" s="90">
        <f>B42-C42</f>
        <v>53938.790000000008</v>
      </c>
      <c r="E42" s="82">
        <f>IFERROR((B42-C42)/ABS(C42),0)</f>
        <v>0.32317254229976516</v>
      </c>
      <c r="F42" s="120"/>
      <c r="G42" s="120"/>
    </row>
    <row r="43" spans="1:7" ht="18" customHeight="1" x14ac:dyDescent="0.35">
      <c r="A43" s="167" t="s">
        <v>331</v>
      </c>
      <c r="B43" s="151">
        <f>B38</f>
        <v>64893.790000000008</v>
      </c>
      <c r="C43" s="203">
        <v>13806</v>
      </c>
      <c r="D43" s="90">
        <f>B43-C43</f>
        <v>51087.790000000008</v>
      </c>
      <c r="E43" s="82">
        <f>IFERROR((B43-C43)/ABS(C43),0)</f>
        <v>3.7004048964218463</v>
      </c>
      <c r="F43" s="120"/>
      <c r="G43" s="120"/>
    </row>
    <row r="44" spans="1:7" ht="18" customHeight="1" x14ac:dyDescent="0.35">
      <c r="A44" s="167" t="s">
        <v>464</v>
      </c>
      <c r="B44" s="151">
        <f>C38</f>
        <v>778725.4800000001</v>
      </c>
      <c r="C44" s="203">
        <v>165673</v>
      </c>
      <c r="D44" s="90">
        <f>B44-C44</f>
        <v>613052.4800000001</v>
      </c>
      <c r="E44" s="82">
        <f>IFERROR((B44-C44)/ABS(C44),0)</f>
        <v>3.7003765248411034</v>
      </c>
      <c r="F44" s="120"/>
      <c r="G44" s="120"/>
    </row>
    <row r="45" spans="1:7" ht="18" customHeight="1" x14ac:dyDescent="0.35">
      <c r="A45" s="167" t="s">
        <v>465</v>
      </c>
      <c r="B45" s="140">
        <f>D38</f>
        <v>0.29384608843240934</v>
      </c>
      <c r="C45" s="204">
        <v>8.2699999999999996E-2</v>
      </c>
      <c r="D45" s="82">
        <f>B45-C45</f>
        <v>0.21114608843240934</v>
      </c>
      <c r="E45" s="82">
        <f>IFERROR((B45-C45)/ABS(C45),0)</f>
        <v>2.5531570548054336</v>
      </c>
      <c r="F45" s="120"/>
      <c r="G45" s="120"/>
    </row>
    <row r="46" spans="1:7" ht="18" customHeight="1" x14ac:dyDescent="0.35">
      <c r="A46" s="274" t="s">
        <v>788</v>
      </c>
      <c r="B46" s="151">
        <f>IFERROR(B36/(1-B28),0)</f>
        <v>152332.13682432432</v>
      </c>
      <c r="C46" s="203">
        <v>152328</v>
      </c>
      <c r="D46" s="90">
        <f>B46-C46</f>
        <v>4.1368243243196048</v>
      </c>
      <c r="E46" s="82">
        <f>IFERROR((B46-C46)/ABS(C46),0)</f>
        <v>2.7157346806362617E-5</v>
      </c>
      <c r="F46" s="120"/>
      <c r="G46" s="120"/>
    </row>
    <row r="47" spans="1:7" ht="4.5" customHeight="1" x14ac:dyDescent="0.35">
      <c r="A47" s="7"/>
      <c r="B47" s="7"/>
      <c r="C47" s="7"/>
      <c r="D47" s="7"/>
      <c r="E47" s="7"/>
      <c r="F47" s="7"/>
      <c r="G47" s="7"/>
    </row>
    <row r="48" spans="1:7" ht="24" customHeight="1" x14ac:dyDescent="0.35">
      <c r="A48" s="480" t="s">
        <v>466</v>
      </c>
      <c r="B48" s="437"/>
      <c r="C48" s="437"/>
      <c r="D48" s="437"/>
      <c r="E48" s="437"/>
      <c r="F48" s="437"/>
      <c r="G48" s="437"/>
    </row>
    <row r="49" spans="1:7" ht="21.75" customHeight="1" x14ac:dyDescent="0.35">
      <c r="A49" s="304" t="s">
        <v>467</v>
      </c>
      <c r="B49" s="310" t="s">
        <v>468</v>
      </c>
      <c r="C49" s="304" t="s">
        <v>271</v>
      </c>
      <c r="D49" s="309" t="s">
        <v>469</v>
      </c>
      <c r="E49" s="307" t="s">
        <v>470</v>
      </c>
      <c r="F49" s="307" t="s">
        <v>471</v>
      </c>
      <c r="G49" s="304" t="s">
        <v>472</v>
      </c>
    </row>
    <row r="50" spans="1:7" ht="15.75" customHeight="1" x14ac:dyDescent="0.35">
      <c r="A50" s="275" t="s">
        <v>749</v>
      </c>
      <c r="B50" s="206">
        <v>300</v>
      </c>
      <c r="C50" s="207">
        <f>B6</f>
        <v>40</v>
      </c>
      <c r="D50" s="186">
        <f>B50*C50</f>
        <v>12000</v>
      </c>
      <c r="E50" s="90">
        <f>D50*(1-B28)</f>
        <v>11366.4</v>
      </c>
      <c r="F50" s="109">
        <f>IFERROR(E50/D50,0)</f>
        <v>0.94719999999999993</v>
      </c>
      <c r="G50" s="208" t="s">
        <v>473</v>
      </c>
    </row>
    <row r="51" spans="1:7" ht="15.75" customHeight="1" x14ac:dyDescent="0.35">
      <c r="A51" s="275" t="s">
        <v>750</v>
      </c>
      <c r="B51" s="206">
        <v>300</v>
      </c>
      <c r="C51" s="207">
        <f>B7</f>
        <v>70</v>
      </c>
      <c r="D51" s="186">
        <f>B51*C51</f>
        <v>21000</v>
      </c>
      <c r="E51" s="90">
        <f>D51*(1-B28)</f>
        <v>19891.2</v>
      </c>
      <c r="F51" s="109">
        <f>IFERROR(E51/D51,0)</f>
        <v>0.94720000000000004</v>
      </c>
      <c r="G51" s="208" t="s">
        <v>473</v>
      </c>
    </row>
    <row r="52" spans="1:7" ht="15.75" customHeight="1" x14ac:dyDescent="0.35">
      <c r="A52" s="205" t="s">
        <v>474</v>
      </c>
      <c r="B52" s="206">
        <v>5</v>
      </c>
      <c r="C52" s="207">
        <f>B8</f>
        <v>220</v>
      </c>
      <c r="D52" s="186">
        <f>B52*C52</f>
        <v>1100</v>
      </c>
      <c r="E52" s="90">
        <f>D52*(1-B28)</f>
        <v>1041.92</v>
      </c>
      <c r="F52" s="109">
        <f>IFERROR(E52/D52,0)</f>
        <v>0.94720000000000004</v>
      </c>
      <c r="G52" s="208" t="s">
        <v>473</v>
      </c>
    </row>
    <row r="53" spans="1:7" ht="15.75" customHeight="1" x14ac:dyDescent="0.35">
      <c r="A53" s="205" t="s">
        <v>475</v>
      </c>
      <c r="B53" s="206">
        <v>10</v>
      </c>
      <c r="C53" s="207">
        <f>B9</f>
        <v>350</v>
      </c>
      <c r="D53" s="186">
        <f>B53*C53</f>
        <v>3500</v>
      </c>
      <c r="E53" s="90">
        <f>D53*(1-B28)</f>
        <v>3315.2000000000003</v>
      </c>
      <c r="F53" s="109">
        <f>IFERROR(E53/D53,0)</f>
        <v>0.94720000000000004</v>
      </c>
      <c r="G53" s="208" t="s">
        <v>473</v>
      </c>
    </row>
    <row r="54" spans="1:7" ht="15.75" customHeight="1" x14ac:dyDescent="0.35">
      <c r="A54" s="205" t="s">
        <v>476</v>
      </c>
      <c r="B54" s="206">
        <v>20</v>
      </c>
      <c r="C54" s="207">
        <f>B10</f>
        <v>60</v>
      </c>
      <c r="D54" s="186">
        <f>B54*C54</f>
        <v>1200</v>
      </c>
      <c r="E54" s="90">
        <f>D54*(1-B28)</f>
        <v>1136.6400000000001</v>
      </c>
      <c r="F54" s="109">
        <f>IFERROR(E54/D54,0)</f>
        <v>0.94720000000000004</v>
      </c>
      <c r="G54" s="208" t="s">
        <v>473</v>
      </c>
    </row>
  </sheetData>
  <mergeCells count="20">
    <mergeCell ref="A1:G1"/>
    <mergeCell ref="A2:G2"/>
    <mergeCell ref="A4:G4"/>
    <mergeCell ref="E6:G6"/>
    <mergeCell ref="E7:G7"/>
    <mergeCell ref="E8:G8"/>
    <mergeCell ref="E9:G9"/>
    <mergeCell ref="E10:G10"/>
    <mergeCell ref="E11:G11"/>
    <mergeCell ref="E12:G12"/>
    <mergeCell ref="C13:G13"/>
    <mergeCell ref="A14:G14"/>
    <mergeCell ref="A26:G26"/>
    <mergeCell ref="D28:G28"/>
    <mergeCell ref="D32:G32"/>
    <mergeCell ref="D33:G33"/>
    <mergeCell ref="D34:G34"/>
    <mergeCell ref="D35:G35"/>
    <mergeCell ref="A40:G40"/>
    <mergeCell ref="A48:G4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695C"/>
  </sheetPr>
  <dimension ref="A1:T85"/>
  <sheetViews>
    <sheetView showGridLines="0" zoomScaleNormal="100" workbookViewId="0">
      <pane xSplit="2" ySplit="3" topLeftCell="C55" activePane="bottomRight" state="frozen"/>
      <selection pane="topRight" activeCell="C1" sqref="C1"/>
      <selection pane="bottomLeft" activeCell="A4" sqref="A4"/>
      <selection pane="bottomRight" activeCell="S10" sqref="A10:S10"/>
    </sheetView>
  </sheetViews>
  <sheetFormatPr baseColWidth="10" defaultColWidth="8.6328125" defaultRowHeight="14.5" x14ac:dyDescent="0.35"/>
  <cols>
    <col min="1" max="1" width="10" customWidth="1"/>
    <col min="2" max="2" width="32" customWidth="1"/>
    <col min="3" max="14" width="10" customWidth="1"/>
    <col min="15" max="15" width="13" customWidth="1"/>
    <col min="16" max="16" width="9" customWidth="1"/>
  </cols>
  <sheetData>
    <row r="1" spans="1:20" ht="25.5" customHeight="1" x14ac:dyDescent="0.35">
      <c r="A1" s="485" t="s">
        <v>773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</row>
    <row r="2" spans="1:20" ht="13.5" customHeight="1" x14ac:dyDescent="0.35">
      <c r="A2" s="486" t="s">
        <v>772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</row>
    <row r="3" spans="1:20" ht="19.5" customHeight="1" x14ac:dyDescent="0.35">
      <c r="A3" s="101" t="s">
        <v>690</v>
      </c>
      <c r="B3" s="101" t="s">
        <v>272</v>
      </c>
      <c r="C3" s="101" t="s">
        <v>4</v>
      </c>
      <c r="D3" s="101" t="s">
        <v>5</v>
      </c>
      <c r="E3" s="101" t="s">
        <v>6</v>
      </c>
      <c r="F3" s="101" t="s">
        <v>7</v>
      </c>
      <c r="G3" s="101" t="s">
        <v>8</v>
      </c>
      <c r="H3" s="101" t="s">
        <v>9</v>
      </c>
      <c r="I3" s="101" t="s">
        <v>10</v>
      </c>
      <c r="J3" s="101" t="s">
        <v>11</v>
      </c>
      <c r="K3" s="101" t="s">
        <v>12</v>
      </c>
      <c r="L3" s="101" t="s">
        <v>13</v>
      </c>
      <c r="M3" s="101" t="s">
        <v>14</v>
      </c>
      <c r="N3" s="101" t="s">
        <v>15</v>
      </c>
      <c r="O3" s="101" t="s">
        <v>256</v>
      </c>
      <c r="P3" s="101" t="s">
        <v>17</v>
      </c>
    </row>
    <row r="4" spans="1:20" ht="13.5" customHeight="1" x14ac:dyDescent="0.35">
      <c r="A4" s="268" t="s">
        <v>20</v>
      </c>
      <c r="B4" s="269" t="s">
        <v>691</v>
      </c>
      <c r="C4" s="270">
        <v>192370.04</v>
      </c>
      <c r="D4" s="270">
        <v>214297.38</v>
      </c>
      <c r="E4" s="270">
        <v>170177.34</v>
      </c>
      <c r="F4" s="270">
        <v>173762.55</v>
      </c>
      <c r="G4" s="270">
        <v>156921.65</v>
      </c>
      <c r="H4" s="270">
        <v>159132.97</v>
      </c>
      <c r="I4" s="270">
        <v>198440.87</v>
      </c>
      <c r="J4" s="270">
        <v>190171.17</v>
      </c>
      <c r="K4" s="270">
        <v>149187.06</v>
      </c>
      <c r="L4" s="270">
        <v>154118.53</v>
      </c>
      <c r="M4" s="270">
        <v>149910.54999999999</v>
      </c>
      <c r="N4" s="270">
        <v>206086.19</v>
      </c>
      <c r="O4" s="271">
        <f t="shared" ref="O4:O35" si="0">SUM(C4:N4)</f>
        <v>2114576.3000000003</v>
      </c>
      <c r="P4" s="272">
        <f>IFERROR(O4/O4,0)</f>
        <v>1</v>
      </c>
    </row>
    <row r="5" spans="1:20" ht="13.5" customHeight="1" x14ac:dyDescent="0.35">
      <c r="A5" s="268" t="s">
        <v>203</v>
      </c>
      <c r="B5" s="269" t="s">
        <v>692</v>
      </c>
      <c r="C5" s="270">
        <v>0.69</v>
      </c>
      <c r="D5" s="270">
        <v>0.94</v>
      </c>
      <c r="E5" s="270">
        <v>0</v>
      </c>
      <c r="F5" s="270">
        <v>5.08</v>
      </c>
      <c r="G5" s="270">
        <v>2.4</v>
      </c>
      <c r="H5" s="270">
        <v>174.7</v>
      </c>
      <c r="I5" s="270">
        <v>157.27000000000001</v>
      </c>
      <c r="J5" s="270">
        <v>82.85</v>
      </c>
      <c r="K5" s="270">
        <v>120.88</v>
      </c>
      <c r="L5" s="270">
        <v>196.28</v>
      </c>
      <c r="M5" s="270">
        <v>24.43</v>
      </c>
      <c r="N5" s="270">
        <v>598.71</v>
      </c>
      <c r="O5" s="271">
        <f t="shared" si="0"/>
        <v>1364.23</v>
      </c>
      <c r="P5" s="14">
        <f>IFERROR(O5/O4,0)</f>
        <v>6.4515524930455325E-4</v>
      </c>
    </row>
    <row r="6" spans="1:20" ht="13.5" customHeight="1" x14ac:dyDescent="0.35">
      <c r="A6" s="268" t="s">
        <v>205</v>
      </c>
      <c r="B6" s="269" t="s">
        <v>693</v>
      </c>
      <c r="C6" s="270">
        <v>10.66</v>
      </c>
      <c r="D6" s="270">
        <v>0.01</v>
      </c>
      <c r="E6" s="270">
        <v>0.15</v>
      </c>
      <c r="F6" s="270">
        <v>9.07</v>
      </c>
      <c r="G6" s="270">
        <v>1.18</v>
      </c>
      <c r="H6" s="270">
        <v>0.77</v>
      </c>
      <c r="I6" s="270">
        <v>0</v>
      </c>
      <c r="J6" s="270">
        <v>10.01</v>
      </c>
      <c r="K6" s="270">
        <v>0.01</v>
      </c>
      <c r="L6" s="270">
        <v>0</v>
      </c>
      <c r="M6" s="270">
        <v>0.03</v>
      </c>
      <c r="N6" s="270">
        <v>0.06</v>
      </c>
      <c r="O6" s="271">
        <f t="shared" si="0"/>
        <v>31.950000000000003</v>
      </c>
      <c r="P6" s="14">
        <f>IFERROR(O6/O4,0)</f>
        <v>1.5109409861446002E-5</v>
      </c>
    </row>
    <row r="7" spans="1:20" ht="13.5" customHeight="1" x14ac:dyDescent="0.35">
      <c r="A7" s="268" t="s">
        <v>55</v>
      </c>
      <c r="B7" s="269" t="s">
        <v>694</v>
      </c>
      <c r="C7" s="270">
        <v>28638</v>
      </c>
      <c r="D7" s="270">
        <v>24200</v>
      </c>
      <c r="E7" s="270">
        <v>26007.68</v>
      </c>
      <c r="F7" s="270">
        <v>25053</v>
      </c>
      <c r="G7" s="270">
        <v>24486</v>
      </c>
      <c r="H7" s="270">
        <v>25517.98</v>
      </c>
      <c r="I7" s="270">
        <v>25702.6</v>
      </c>
      <c r="J7" s="270">
        <v>23177</v>
      </c>
      <c r="K7" s="270">
        <v>23862.54</v>
      </c>
      <c r="L7" s="270">
        <v>23877</v>
      </c>
      <c r="M7" s="270">
        <v>21864.5</v>
      </c>
      <c r="N7" s="270">
        <v>19113.509999999998</v>
      </c>
      <c r="O7" s="271">
        <f t="shared" si="0"/>
        <v>291499.81000000006</v>
      </c>
      <c r="P7" s="14">
        <f>IFERROR(O7/O4,0)</f>
        <v>0.13785258540919049</v>
      </c>
    </row>
    <row r="8" spans="1:20" ht="13.5" customHeight="1" x14ac:dyDescent="0.35">
      <c r="A8" s="268" t="s">
        <v>57</v>
      </c>
      <c r="B8" s="269" t="s">
        <v>695</v>
      </c>
      <c r="C8" s="270">
        <v>339</v>
      </c>
      <c r="D8" s="270">
        <v>226</v>
      </c>
      <c r="E8" s="270">
        <v>339</v>
      </c>
      <c r="F8" s="270">
        <v>452</v>
      </c>
      <c r="G8" s="270">
        <v>452</v>
      </c>
      <c r="H8" s="270">
        <v>452</v>
      </c>
      <c r="I8" s="270">
        <v>452</v>
      </c>
      <c r="J8" s="270">
        <v>452</v>
      </c>
      <c r="K8" s="270">
        <v>565</v>
      </c>
      <c r="L8" s="270">
        <v>452</v>
      </c>
      <c r="M8" s="270">
        <v>565</v>
      </c>
      <c r="N8" s="270">
        <v>565</v>
      </c>
      <c r="O8" s="271">
        <f t="shared" si="0"/>
        <v>5311</v>
      </c>
      <c r="P8" s="14">
        <f>IFERROR(O8/O4,0)</f>
        <v>2.5116142652312897E-3</v>
      </c>
      <c r="T8" s="270">
        <v>533.33000000000004</v>
      </c>
    </row>
    <row r="9" spans="1:20" ht="13.5" customHeight="1" x14ac:dyDescent="0.35">
      <c r="A9" s="268" t="s">
        <v>59</v>
      </c>
      <c r="B9" s="269" t="s">
        <v>696</v>
      </c>
      <c r="C9" s="270">
        <v>0</v>
      </c>
      <c r="D9" s="270">
        <v>0</v>
      </c>
      <c r="E9" s="270">
        <v>0</v>
      </c>
      <c r="F9" s="270">
        <v>0</v>
      </c>
      <c r="G9" s="270">
        <v>0</v>
      </c>
      <c r="H9" s="270">
        <v>0</v>
      </c>
      <c r="I9" s="270">
        <v>0</v>
      </c>
      <c r="J9" s="270">
        <v>1000</v>
      </c>
      <c r="K9" s="270">
        <v>166.67</v>
      </c>
      <c r="L9" s="270">
        <v>0</v>
      </c>
      <c r="M9" s="270">
        <v>0</v>
      </c>
      <c r="O9" s="271">
        <f t="shared" si="0"/>
        <v>1166.67</v>
      </c>
      <c r="P9" s="14">
        <f>IFERROR(O9/O4,0)</f>
        <v>5.5172754939133669E-4</v>
      </c>
    </row>
    <row r="10" spans="1:20" ht="13.5" customHeight="1" x14ac:dyDescent="0.35">
      <c r="A10" s="268" t="s">
        <v>61</v>
      </c>
      <c r="B10" s="269" t="s">
        <v>697</v>
      </c>
      <c r="C10" s="270">
        <v>0</v>
      </c>
      <c r="D10" s="270">
        <v>0</v>
      </c>
      <c r="E10" s="270">
        <v>0</v>
      </c>
      <c r="F10" s="270">
        <v>3076.27</v>
      </c>
      <c r="G10" s="270">
        <v>1538.13</v>
      </c>
      <c r="H10" s="270">
        <v>3144.93</v>
      </c>
      <c r="I10" s="270">
        <v>4545.7299999999996</v>
      </c>
      <c r="J10" s="270">
        <v>2437.67</v>
      </c>
      <c r="K10" s="270">
        <v>0</v>
      </c>
      <c r="L10" s="270">
        <v>1222.27</v>
      </c>
      <c r="M10" s="270">
        <v>1496.93</v>
      </c>
      <c r="N10" s="270">
        <v>4185.2299999999996</v>
      </c>
      <c r="O10" s="271">
        <f t="shared" si="0"/>
        <v>21647.16</v>
      </c>
      <c r="P10" s="14">
        <f>IFERROR(O10/O4,0)</f>
        <v>1.0237114640885741E-2</v>
      </c>
    </row>
    <row r="11" spans="1:20" ht="13.5" customHeight="1" x14ac:dyDescent="0.35">
      <c r="A11" s="268" t="s">
        <v>63</v>
      </c>
      <c r="B11" s="269" t="s">
        <v>698</v>
      </c>
      <c r="C11" s="270">
        <v>100</v>
      </c>
      <c r="D11" s="270">
        <v>100</v>
      </c>
      <c r="E11" s="270">
        <v>100</v>
      </c>
      <c r="F11" s="270">
        <v>100</v>
      </c>
      <c r="G11" s="270">
        <v>100</v>
      </c>
      <c r="H11" s="270">
        <v>100</v>
      </c>
      <c r="I11" s="270">
        <v>100</v>
      </c>
      <c r="J11" s="270">
        <v>100</v>
      </c>
      <c r="K11" s="270">
        <v>100</v>
      </c>
      <c r="L11" s="270">
        <v>100</v>
      </c>
      <c r="M11" s="270">
        <v>100</v>
      </c>
      <c r="N11" s="270">
        <v>100</v>
      </c>
      <c r="O11" s="271">
        <f t="shared" si="0"/>
        <v>1200</v>
      </c>
      <c r="P11" s="14">
        <f>IFERROR(O11/O4,0)</f>
        <v>5.6748957226088268E-4</v>
      </c>
    </row>
    <row r="12" spans="1:20" ht="13.5" customHeight="1" x14ac:dyDescent="0.35">
      <c r="A12" s="268" t="s">
        <v>65</v>
      </c>
      <c r="B12" s="269" t="s">
        <v>699</v>
      </c>
      <c r="C12" s="270">
        <v>0</v>
      </c>
      <c r="D12" s="270">
        <v>0</v>
      </c>
      <c r="E12" s="270">
        <v>0</v>
      </c>
      <c r="F12" s="270">
        <v>379.17</v>
      </c>
      <c r="G12" s="270">
        <v>563.33000000000004</v>
      </c>
      <c r="H12" s="270">
        <v>150</v>
      </c>
      <c r="I12" s="270">
        <v>488.38</v>
      </c>
      <c r="J12" s="270">
        <v>2470</v>
      </c>
      <c r="K12" s="270">
        <v>2507.46</v>
      </c>
      <c r="L12" s="270">
        <v>646.66999999999996</v>
      </c>
      <c r="M12" s="270">
        <v>4055</v>
      </c>
      <c r="N12" s="270">
        <v>26.67</v>
      </c>
      <c r="O12" s="271">
        <f t="shared" si="0"/>
        <v>11286.68</v>
      </c>
      <c r="P12" s="14">
        <f>IFERROR(O12/O4,0)</f>
        <v>5.3375610045378824E-3</v>
      </c>
    </row>
    <row r="13" spans="1:20" ht="13.5" customHeight="1" x14ac:dyDescent="0.35">
      <c r="A13" s="268" t="s">
        <v>67</v>
      </c>
      <c r="B13" s="269" t="s">
        <v>66</v>
      </c>
      <c r="C13" s="270">
        <v>2052.13</v>
      </c>
      <c r="D13" s="270">
        <v>559.30999999999995</v>
      </c>
      <c r="E13" s="270">
        <v>576.09</v>
      </c>
      <c r="F13" s="270">
        <v>576.09</v>
      </c>
      <c r="G13" s="270">
        <v>701.98</v>
      </c>
      <c r="H13" s="270">
        <v>576.09</v>
      </c>
      <c r="I13" s="270">
        <v>576.09</v>
      </c>
      <c r="J13" s="270">
        <v>576.09</v>
      </c>
      <c r="K13" s="270">
        <v>576.09</v>
      </c>
      <c r="L13" s="270">
        <v>527.16</v>
      </c>
      <c r="M13" s="270">
        <v>576.09</v>
      </c>
      <c r="N13" s="270">
        <v>638.66</v>
      </c>
      <c r="O13" s="271">
        <f t="shared" si="0"/>
        <v>8511.8700000000008</v>
      </c>
      <c r="P13" s="14">
        <f>IFERROR(O13/O4,0)</f>
        <v>4.0253312212001997E-3</v>
      </c>
    </row>
    <row r="14" spans="1:20" ht="13.5" customHeight="1" x14ac:dyDescent="0.35">
      <c r="A14" s="268" t="s">
        <v>69</v>
      </c>
      <c r="B14" s="269" t="s">
        <v>68</v>
      </c>
      <c r="C14" s="270">
        <v>818.84</v>
      </c>
      <c r="D14" s="270">
        <v>8728.0400000000009</v>
      </c>
      <c r="E14" s="270">
        <v>0</v>
      </c>
      <c r="F14" s="270">
        <v>497.83</v>
      </c>
      <c r="G14" s="270">
        <v>1030</v>
      </c>
      <c r="H14" s="270">
        <v>206</v>
      </c>
      <c r="I14" s="270">
        <v>15888.9</v>
      </c>
      <c r="J14" s="270">
        <v>1751</v>
      </c>
      <c r="K14" s="270">
        <v>2213.73</v>
      </c>
      <c r="L14" s="270">
        <v>1922.67</v>
      </c>
      <c r="M14" s="270">
        <v>5665</v>
      </c>
      <c r="N14" s="270">
        <v>15002.17</v>
      </c>
      <c r="O14" s="271">
        <f t="shared" si="0"/>
        <v>53724.18</v>
      </c>
      <c r="P14" s="14">
        <f>IFERROR(O14/O4,0)</f>
        <v>2.5406593273555555E-2</v>
      </c>
    </row>
    <row r="15" spans="1:20" ht="13.5" customHeight="1" x14ac:dyDescent="0.35">
      <c r="A15" s="268" t="s">
        <v>71</v>
      </c>
      <c r="B15" s="269" t="s">
        <v>700</v>
      </c>
      <c r="C15" s="270">
        <v>73.7</v>
      </c>
      <c r="D15" s="270">
        <v>785.52</v>
      </c>
      <c r="E15" s="270">
        <v>0</v>
      </c>
      <c r="F15" s="270">
        <v>44.8</v>
      </c>
      <c r="G15" s="270">
        <v>92.7</v>
      </c>
      <c r="H15" s="270">
        <v>18.54</v>
      </c>
      <c r="I15" s="270">
        <v>1430.01</v>
      </c>
      <c r="J15" s="270">
        <v>157.59</v>
      </c>
      <c r="K15" s="270">
        <v>199.23</v>
      </c>
      <c r="L15" s="270">
        <v>173.04</v>
      </c>
      <c r="M15" s="270">
        <v>509.85</v>
      </c>
      <c r="N15" s="270">
        <v>1350.2</v>
      </c>
      <c r="O15" s="271">
        <f t="shared" si="0"/>
        <v>4835.18</v>
      </c>
      <c r="P15" s="14">
        <f>IFERROR(O15/O4,0)</f>
        <v>2.2865951916703122E-3</v>
      </c>
    </row>
    <row r="16" spans="1:20" ht="13.5" customHeight="1" x14ac:dyDescent="0.35">
      <c r="A16" s="268" t="s">
        <v>73</v>
      </c>
      <c r="B16" s="269" t="s">
        <v>701</v>
      </c>
      <c r="C16" s="270">
        <v>1859.88</v>
      </c>
      <c r="D16" s="270">
        <v>1615.48</v>
      </c>
      <c r="E16" s="270">
        <v>1693</v>
      </c>
      <c r="F16" s="270">
        <v>2400</v>
      </c>
      <c r="G16" s="270">
        <v>1400</v>
      </c>
      <c r="H16" s="270">
        <v>0</v>
      </c>
      <c r="I16" s="270">
        <v>680</v>
      </c>
      <c r="J16" s="270">
        <v>3090</v>
      </c>
      <c r="K16" s="270">
        <v>1580</v>
      </c>
      <c r="L16" s="270">
        <v>760</v>
      </c>
      <c r="M16" s="270">
        <v>700</v>
      </c>
      <c r="N16" s="270">
        <v>280</v>
      </c>
      <c r="O16" s="271">
        <f t="shared" si="0"/>
        <v>16058.36</v>
      </c>
      <c r="P16" s="14">
        <f>IFERROR(O16/O4,0)</f>
        <v>7.5941265396760561E-3</v>
      </c>
    </row>
    <row r="17" spans="1:16" ht="13.5" customHeight="1" x14ac:dyDescent="0.35">
      <c r="A17" s="268" t="s">
        <v>75</v>
      </c>
      <c r="B17" s="269" t="s">
        <v>74</v>
      </c>
      <c r="C17" s="270">
        <v>4354.54</v>
      </c>
      <c r="D17" s="270">
        <v>20244.97</v>
      </c>
      <c r="E17" s="270">
        <v>0</v>
      </c>
      <c r="F17" s="270">
        <v>0</v>
      </c>
      <c r="G17" s="270">
        <v>0</v>
      </c>
      <c r="H17" s="270">
        <v>0</v>
      </c>
      <c r="I17" s="270">
        <v>0</v>
      </c>
      <c r="J17" s="270">
        <v>0</v>
      </c>
      <c r="K17" s="270">
        <v>0</v>
      </c>
      <c r="L17" s="270">
        <v>0</v>
      </c>
      <c r="M17" s="270">
        <v>0</v>
      </c>
      <c r="N17" s="270">
        <v>0</v>
      </c>
      <c r="O17" s="271">
        <f t="shared" si="0"/>
        <v>24599.510000000002</v>
      </c>
      <c r="P17" s="14">
        <f>IFERROR(O17/O4,0)</f>
        <v>1.1633304506439422E-2</v>
      </c>
    </row>
    <row r="18" spans="1:16" ht="13.5" customHeight="1" x14ac:dyDescent="0.35">
      <c r="A18" s="268" t="s">
        <v>77</v>
      </c>
      <c r="B18" s="269" t="s">
        <v>702</v>
      </c>
      <c r="C18" s="270">
        <v>0</v>
      </c>
      <c r="D18" s="270">
        <v>1000</v>
      </c>
      <c r="E18" s="270">
        <v>0</v>
      </c>
      <c r="F18" s="270">
        <v>0</v>
      </c>
      <c r="G18" s="270">
        <v>0</v>
      </c>
      <c r="H18" s="270">
        <v>2080.6</v>
      </c>
      <c r="I18" s="270">
        <v>1627.4</v>
      </c>
      <c r="J18" s="270">
        <v>2327.8000000000002</v>
      </c>
      <c r="K18" s="270">
        <v>1630.83</v>
      </c>
      <c r="L18" s="270">
        <v>2818.77</v>
      </c>
      <c r="M18" s="270">
        <v>2070.3000000000002</v>
      </c>
      <c r="N18" s="270">
        <v>1448.87</v>
      </c>
      <c r="O18" s="271">
        <f t="shared" si="0"/>
        <v>15004.57</v>
      </c>
      <c r="P18" s="14">
        <f>IFERROR(O18/O4,0)</f>
        <v>7.0957808427153934E-3</v>
      </c>
    </row>
    <row r="19" spans="1:16" ht="13.5" customHeight="1" x14ac:dyDescent="0.35">
      <c r="A19" s="268" t="s">
        <v>79</v>
      </c>
      <c r="B19" s="269" t="s">
        <v>703</v>
      </c>
      <c r="C19" s="270">
        <v>0</v>
      </c>
      <c r="D19" s="270">
        <v>0</v>
      </c>
      <c r="E19" s="270">
        <v>0</v>
      </c>
      <c r="F19" s="270">
        <v>0</v>
      </c>
      <c r="G19" s="270">
        <v>0</v>
      </c>
      <c r="H19" s="270">
        <v>0</v>
      </c>
      <c r="I19" s="270">
        <v>0</v>
      </c>
      <c r="J19" s="270">
        <v>550</v>
      </c>
      <c r="K19" s="270">
        <v>0</v>
      </c>
      <c r="L19" s="270">
        <v>0</v>
      </c>
      <c r="M19" s="270">
        <v>0</v>
      </c>
      <c r="N19" s="270">
        <v>0</v>
      </c>
      <c r="O19" s="271">
        <f t="shared" si="0"/>
        <v>550</v>
      </c>
      <c r="P19" s="14">
        <f>IFERROR(O19/O4,0)</f>
        <v>2.6009938728623787E-4</v>
      </c>
    </row>
    <row r="20" spans="1:16" ht="13.5" customHeight="1" x14ac:dyDescent="0.35">
      <c r="A20" s="268" t="s">
        <v>81</v>
      </c>
      <c r="B20" s="269" t="s">
        <v>704</v>
      </c>
      <c r="C20" s="270">
        <v>1920</v>
      </c>
      <c r="D20" s="270">
        <v>115.81</v>
      </c>
      <c r="E20" s="270">
        <v>409.27</v>
      </c>
      <c r="F20" s="270">
        <v>248.98</v>
      </c>
      <c r="G20" s="270">
        <v>895.24</v>
      </c>
      <c r="H20" s="270">
        <v>1142.3900000000001</v>
      </c>
      <c r="I20" s="270">
        <v>1526.16</v>
      </c>
      <c r="J20" s="270">
        <v>2428.71</v>
      </c>
      <c r="K20" s="270">
        <v>582.4</v>
      </c>
      <c r="L20" s="270">
        <v>332.97</v>
      </c>
      <c r="M20" s="270">
        <v>386.44</v>
      </c>
      <c r="N20" s="270">
        <v>2645.15</v>
      </c>
      <c r="O20" s="271">
        <f t="shared" si="0"/>
        <v>12633.52</v>
      </c>
      <c r="P20" s="14">
        <f>IFERROR(O20/O4,0)</f>
        <v>5.974492384124422E-3</v>
      </c>
    </row>
    <row r="21" spans="1:16" ht="13.5" customHeight="1" x14ac:dyDescent="0.35">
      <c r="A21" s="268" t="s">
        <v>83</v>
      </c>
      <c r="B21" s="269" t="s">
        <v>82</v>
      </c>
      <c r="C21" s="270">
        <v>3351.92</v>
      </c>
      <c r="D21" s="270">
        <v>4335.83</v>
      </c>
      <c r="E21" s="270">
        <v>2665.58</v>
      </c>
      <c r="F21" s="270">
        <v>2903.23</v>
      </c>
      <c r="G21" s="270">
        <v>2717.53</v>
      </c>
      <c r="H21" s="270">
        <v>3011.64</v>
      </c>
      <c r="I21" s="270">
        <v>2936.27</v>
      </c>
      <c r="J21" s="270">
        <v>3120.23</v>
      </c>
      <c r="K21" s="270">
        <v>2789.52</v>
      </c>
      <c r="L21" s="270">
        <v>2560.6799999999998</v>
      </c>
      <c r="M21" s="270">
        <v>2370.5</v>
      </c>
      <c r="N21" s="270">
        <v>2503.79</v>
      </c>
      <c r="O21" s="271">
        <f t="shared" si="0"/>
        <v>35266.720000000001</v>
      </c>
      <c r="P21" s="14">
        <f>IFERROR(O21/O4,0)</f>
        <v>1.6677913206536929E-2</v>
      </c>
    </row>
    <row r="22" spans="1:16" ht="13.5" customHeight="1" x14ac:dyDescent="0.35">
      <c r="A22" s="268" t="s">
        <v>85</v>
      </c>
      <c r="B22" s="269" t="s">
        <v>84</v>
      </c>
      <c r="C22" s="270">
        <v>100</v>
      </c>
      <c r="D22" s="270">
        <v>0</v>
      </c>
      <c r="E22" s="270">
        <v>0</v>
      </c>
      <c r="F22" s="270">
        <v>4055.51</v>
      </c>
      <c r="G22" s="270">
        <v>0</v>
      </c>
      <c r="H22" s="270">
        <v>0</v>
      </c>
      <c r="I22" s="270">
        <v>0</v>
      </c>
      <c r="J22" s="270">
        <v>0</v>
      </c>
      <c r="K22" s="270">
        <v>0</v>
      </c>
      <c r="L22" s="270">
        <v>0</v>
      </c>
      <c r="M22" s="270">
        <v>0</v>
      </c>
      <c r="N22" s="270">
        <v>0</v>
      </c>
      <c r="O22" s="271">
        <f t="shared" si="0"/>
        <v>4155.51</v>
      </c>
      <c r="P22" s="14">
        <f>IFERROR(O22/O4,0)</f>
        <v>1.965173827021517E-3</v>
      </c>
    </row>
    <row r="23" spans="1:16" ht="13.5" customHeight="1" x14ac:dyDescent="0.35">
      <c r="A23" s="268" t="s">
        <v>87</v>
      </c>
      <c r="B23" s="269" t="s">
        <v>86</v>
      </c>
      <c r="C23" s="270">
        <v>1455.51</v>
      </c>
      <c r="D23" s="270">
        <v>5507.03</v>
      </c>
      <c r="E23" s="270">
        <v>0</v>
      </c>
      <c r="F23" s="270">
        <v>390.55</v>
      </c>
      <c r="G23" s="270">
        <v>168.23</v>
      </c>
      <c r="H23" s="270">
        <v>123.6</v>
      </c>
      <c r="I23" s="270">
        <v>442.08</v>
      </c>
      <c r="J23" s="270">
        <v>1949.55</v>
      </c>
      <c r="K23" s="270">
        <v>2042.25</v>
      </c>
      <c r="L23" s="270">
        <v>10258.61</v>
      </c>
      <c r="M23" s="270">
        <v>1937.24</v>
      </c>
      <c r="N23" s="270">
        <v>1473.63</v>
      </c>
      <c r="O23" s="271">
        <f t="shared" si="0"/>
        <v>25748.280000000002</v>
      </c>
      <c r="P23" s="14">
        <f>IFERROR(O23/O4,0)</f>
        <v>1.2176567003044534E-2</v>
      </c>
    </row>
    <row r="24" spans="1:16" ht="13.5" customHeight="1" x14ac:dyDescent="0.35">
      <c r="A24" s="268" t="s">
        <v>170</v>
      </c>
      <c r="B24" s="269" t="s">
        <v>705</v>
      </c>
      <c r="C24" s="270">
        <v>0</v>
      </c>
      <c r="D24" s="270">
        <v>0</v>
      </c>
      <c r="E24" s="270">
        <v>0</v>
      </c>
      <c r="F24" s="270">
        <v>0</v>
      </c>
      <c r="G24" s="270">
        <v>0</v>
      </c>
      <c r="H24" s="270">
        <v>0</v>
      </c>
      <c r="I24" s="270">
        <v>15.75</v>
      </c>
      <c r="J24" s="270">
        <v>21</v>
      </c>
      <c r="K24" s="270">
        <v>0</v>
      </c>
      <c r="L24" s="270">
        <v>0</v>
      </c>
      <c r="M24" s="270">
        <v>493.5</v>
      </c>
      <c r="N24" s="270">
        <v>0</v>
      </c>
      <c r="O24" s="271">
        <f t="shared" si="0"/>
        <v>530.25</v>
      </c>
      <c r="P24" s="14">
        <f>IFERROR(O24/O4,0)</f>
        <v>2.5075945474277753E-4</v>
      </c>
    </row>
    <row r="25" spans="1:16" ht="13.5" customHeight="1" x14ac:dyDescent="0.35">
      <c r="A25" s="268" t="s">
        <v>172</v>
      </c>
      <c r="B25" s="269" t="s">
        <v>706</v>
      </c>
      <c r="C25" s="270">
        <v>0</v>
      </c>
      <c r="D25" s="270">
        <v>0</v>
      </c>
      <c r="E25" s="270">
        <v>0</v>
      </c>
      <c r="F25" s="270">
        <v>0</v>
      </c>
      <c r="G25" s="270">
        <v>0</v>
      </c>
      <c r="H25" s="270">
        <v>444.92</v>
      </c>
      <c r="I25" s="270">
        <v>0</v>
      </c>
      <c r="J25" s="270">
        <v>0</v>
      </c>
      <c r="K25" s="270">
        <v>0</v>
      </c>
      <c r="L25" s="270">
        <v>152.25</v>
      </c>
      <c r="M25" s="270">
        <v>194.25</v>
      </c>
      <c r="N25" s="270">
        <v>173.25</v>
      </c>
      <c r="O25" s="271">
        <f t="shared" si="0"/>
        <v>964.67000000000007</v>
      </c>
      <c r="P25" s="14">
        <f>IFERROR(O25/O4,0)</f>
        <v>4.5620013806075475E-4</v>
      </c>
    </row>
    <row r="26" spans="1:16" ht="13.5" customHeight="1" x14ac:dyDescent="0.35">
      <c r="A26" s="268" t="s">
        <v>174</v>
      </c>
      <c r="B26" s="269" t="s">
        <v>173</v>
      </c>
      <c r="C26" s="270">
        <v>238.2</v>
      </c>
      <c r="D26" s="270">
        <v>371.94</v>
      </c>
      <c r="E26" s="270">
        <v>556.91999999999996</v>
      </c>
      <c r="F26" s="270">
        <v>265.12</v>
      </c>
      <c r="G26" s="270">
        <v>344.93</v>
      </c>
      <c r="H26" s="270">
        <v>239.4</v>
      </c>
      <c r="I26" s="270">
        <v>682.5</v>
      </c>
      <c r="J26" s="270">
        <v>550.29</v>
      </c>
      <c r="K26" s="270">
        <v>148.47</v>
      </c>
      <c r="L26" s="270">
        <v>113.61</v>
      </c>
      <c r="M26" s="270">
        <v>505.37</v>
      </c>
      <c r="N26" s="270">
        <v>0</v>
      </c>
      <c r="O26" s="271">
        <f t="shared" si="0"/>
        <v>4016.75</v>
      </c>
      <c r="P26" s="14">
        <f>IFERROR(O26/O4,0)</f>
        <v>1.8995531161490836E-3</v>
      </c>
    </row>
    <row r="27" spans="1:16" ht="13.5" customHeight="1" x14ac:dyDescent="0.35">
      <c r="A27" s="268" t="s">
        <v>176</v>
      </c>
      <c r="B27" s="269" t="s">
        <v>175</v>
      </c>
      <c r="C27" s="270">
        <v>0</v>
      </c>
      <c r="D27" s="270">
        <v>0</v>
      </c>
      <c r="E27" s="270">
        <v>0</v>
      </c>
      <c r="F27" s="270">
        <v>0</v>
      </c>
      <c r="G27" s="270">
        <v>0</v>
      </c>
      <c r="H27" s="270">
        <v>127.27</v>
      </c>
      <c r="I27" s="270">
        <v>0</v>
      </c>
      <c r="J27" s="270">
        <v>0</v>
      </c>
      <c r="K27" s="270">
        <v>0</v>
      </c>
      <c r="L27" s="270">
        <v>0</v>
      </c>
      <c r="M27" s="270">
        <v>0</v>
      </c>
      <c r="N27" s="270">
        <v>0</v>
      </c>
      <c r="O27" s="271">
        <f t="shared" si="0"/>
        <v>127.27</v>
      </c>
      <c r="P27" s="14">
        <f>IFERROR(O27/O4,0)</f>
        <v>6.0186998218035442E-5</v>
      </c>
    </row>
    <row r="28" spans="1:16" ht="13.5" customHeight="1" x14ac:dyDescent="0.35">
      <c r="A28" s="268" t="s">
        <v>178</v>
      </c>
      <c r="B28" s="269" t="s">
        <v>707</v>
      </c>
      <c r="C28" s="270">
        <v>208</v>
      </c>
      <c r="D28" s="270">
        <v>128</v>
      </c>
      <c r="E28" s="270">
        <v>111.83</v>
      </c>
      <c r="F28" s="270">
        <v>0</v>
      </c>
      <c r="G28" s="270">
        <v>372.96</v>
      </c>
      <c r="H28" s="270">
        <v>128.84</v>
      </c>
      <c r="I28" s="270">
        <v>446.61</v>
      </c>
      <c r="J28" s="270">
        <v>122.04</v>
      </c>
      <c r="K28" s="270">
        <v>717.42</v>
      </c>
      <c r="L28" s="270">
        <v>0</v>
      </c>
      <c r="M28" s="270">
        <v>0</v>
      </c>
      <c r="N28" s="270">
        <v>0</v>
      </c>
      <c r="O28" s="271">
        <f t="shared" si="0"/>
        <v>2235.6999999999998</v>
      </c>
      <c r="P28" s="14">
        <f>IFERROR(O28/O4,0)</f>
        <v>1.0572803639197126E-3</v>
      </c>
    </row>
    <row r="29" spans="1:16" ht="13.5" customHeight="1" x14ac:dyDescent="0.35">
      <c r="A29" s="268" t="s">
        <v>108</v>
      </c>
      <c r="B29" s="269" t="s">
        <v>708</v>
      </c>
      <c r="C29" s="270">
        <v>2300</v>
      </c>
      <c r="D29" s="270">
        <v>0</v>
      </c>
      <c r="E29" s="270">
        <v>0</v>
      </c>
      <c r="F29" s="270">
        <v>252</v>
      </c>
      <c r="G29" s="270">
        <v>0</v>
      </c>
      <c r="H29" s="270">
        <v>0</v>
      </c>
      <c r="I29" s="270">
        <v>0</v>
      </c>
      <c r="J29" s="270">
        <v>0</v>
      </c>
      <c r="K29" s="270">
        <v>0</v>
      </c>
      <c r="L29" s="270">
        <v>0</v>
      </c>
      <c r="M29" s="270">
        <v>0</v>
      </c>
      <c r="N29" s="270">
        <v>0</v>
      </c>
      <c r="O29" s="271">
        <f t="shared" si="0"/>
        <v>2552</v>
      </c>
      <c r="P29" s="14">
        <f>IFERROR(O29/O4,0)</f>
        <v>1.2068611570081437E-3</v>
      </c>
    </row>
    <row r="30" spans="1:16" ht="13.5" customHeight="1" x14ac:dyDescent="0.35">
      <c r="A30" s="268" t="s">
        <v>110</v>
      </c>
      <c r="B30" s="269" t="s">
        <v>709</v>
      </c>
      <c r="C30" s="270">
        <v>1500</v>
      </c>
      <c r="D30" s="270">
        <v>0</v>
      </c>
      <c r="E30" s="270">
        <v>1575</v>
      </c>
      <c r="F30" s="270">
        <v>0</v>
      </c>
      <c r="G30" s="270">
        <v>0</v>
      </c>
      <c r="H30" s="270">
        <v>0</v>
      </c>
      <c r="I30" s="270">
        <v>0</v>
      </c>
      <c r="J30" s="270">
        <v>0</v>
      </c>
      <c r="K30" s="270">
        <v>787.5</v>
      </c>
      <c r="L30" s="270">
        <v>0</v>
      </c>
      <c r="M30" s="270">
        <v>0</v>
      </c>
      <c r="N30" s="270">
        <v>1260</v>
      </c>
      <c r="O30" s="271">
        <f t="shared" si="0"/>
        <v>5122.5</v>
      </c>
      <c r="P30" s="14">
        <f>IFERROR(O30/O4,0)</f>
        <v>2.4224711115886427E-3</v>
      </c>
    </row>
    <row r="31" spans="1:16" ht="13.5" customHeight="1" x14ac:dyDescent="0.35">
      <c r="A31" s="268" t="s">
        <v>112</v>
      </c>
      <c r="B31" s="269" t="s">
        <v>710</v>
      </c>
      <c r="C31" s="270">
        <v>2000</v>
      </c>
      <c r="D31" s="270">
        <v>2000</v>
      </c>
      <c r="E31" s="270">
        <v>0</v>
      </c>
      <c r="F31" s="270">
        <v>0</v>
      </c>
      <c r="G31" s="270">
        <v>4000</v>
      </c>
      <c r="H31" s="270">
        <v>4000</v>
      </c>
      <c r="I31" s="270">
        <v>2000</v>
      </c>
      <c r="J31" s="270">
        <v>2000</v>
      </c>
      <c r="K31" s="270">
        <v>2000</v>
      </c>
      <c r="L31" s="270">
        <v>2000</v>
      </c>
      <c r="M31" s="270">
        <v>2000</v>
      </c>
      <c r="N31" s="270">
        <v>2000</v>
      </c>
      <c r="O31" s="271">
        <f t="shared" si="0"/>
        <v>24000</v>
      </c>
      <c r="P31" s="14">
        <f>IFERROR(O31/O4,0)</f>
        <v>1.1349791445217652E-2</v>
      </c>
    </row>
    <row r="32" spans="1:16" ht="13.5" customHeight="1" x14ac:dyDescent="0.35">
      <c r="A32" s="268" t="s">
        <v>114</v>
      </c>
      <c r="B32" s="269" t="s">
        <v>711</v>
      </c>
      <c r="C32" s="270">
        <v>500</v>
      </c>
      <c r="D32" s="270">
        <v>3250</v>
      </c>
      <c r="E32" s="270">
        <v>0</v>
      </c>
      <c r="F32" s="270">
        <v>0</v>
      </c>
      <c r="G32" s="270">
        <v>0</v>
      </c>
      <c r="H32" s="270">
        <v>220</v>
      </c>
      <c r="I32" s="270">
        <v>0</v>
      </c>
      <c r="J32" s="270">
        <v>0</v>
      </c>
      <c r="K32" s="270">
        <v>0</v>
      </c>
      <c r="L32" s="270">
        <v>0</v>
      </c>
      <c r="M32" s="270">
        <v>1650</v>
      </c>
      <c r="N32" s="270">
        <v>2310</v>
      </c>
      <c r="O32" s="271">
        <f t="shared" si="0"/>
        <v>7930</v>
      </c>
      <c r="P32" s="14">
        <f>IFERROR(O32/O4,0)</f>
        <v>3.7501602566906659E-3</v>
      </c>
    </row>
    <row r="33" spans="1:16" ht="13.5" customHeight="1" x14ac:dyDescent="0.35">
      <c r="A33" s="268" t="s">
        <v>31</v>
      </c>
      <c r="B33" s="269" t="s">
        <v>30</v>
      </c>
      <c r="C33" s="270">
        <v>100</v>
      </c>
      <c r="D33" s="270">
        <v>0</v>
      </c>
      <c r="E33" s="270">
        <v>142.37</v>
      </c>
      <c r="F33" s="270">
        <v>1890</v>
      </c>
      <c r="G33" s="270">
        <v>997.5</v>
      </c>
      <c r="H33" s="270">
        <v>367.5</v>
      </c>
      <c r="I33" s="270">
        <v>626.79999999999995</v>
      </c>
      <c r="J33" s="270">
        <v>976.5</v>
      </c>
      <c r="K33" s="270">
        <v>15398.48</v>
      </c>
      <c r="L33" s="270">
        <v>735</v>
      </c>
      <c r="M33" s="270">
        <v>2179.8200000000002</v>
      </c>
      <c r="N33" s="270">
        <v>0</v>
      </c>
      <c r="O33" s="271">
        <f t="shared" si="0"/>
        <v>23413.97</v>
      </c>
      <c r="P33" s="14">
        <f>IFERROR(O33/O4,0)</f>
        <v>1.1072653183524283E-2</v>
      </c>
    </row>
    <row r="34" spans="1:16" ht="13.5" customHeight="1" x14ac:dyDescent="0.35">
      <c r="A34" s="268" t="s">
        <v>33</v>
      </c>
      <c r="B34" s="269" t="s">
        <v>712</v>
      </c>
      <c r="C34" s="270">
        <v>250</v>
      </c>
      <c r="D34" s="270">
        <v>0</v>
      </c>
      <c r="E34" s="270">
        <v>0</v>
      </c>
      <c r="F34" s="270">
        <v>0</v>
      </c>
      <c r="G34" s="270">
        <v>0</v>
      </c>
      <c r="H34" s="270">
        <v>0</v>
      </c>
      <c r="I34" s="270">
        <v>1050</v>
      </c>
      <c r="J34" s="270">
        <v>0</v>
      </c>
      <c r="K34" s="270">
        <v>2572.5</v>
      </c>
      <c r="L34" s="270">
        <v>0</v>
      </c>
      <c r="M34" s="270">
        <v>0</v>
      </c>
      <c r="N34" s="270">
        <v>0</v>
      </c>
      <c r="O34" s="271">
        <f t="shared" si="0"/>
        <v>3872.5</v>
      </c>
      <c r="P34" s="14">
        <f>IFERROR(O34/O4,0)</f>
        <v>1.8313361404835567E-3</v>
      </c>
    </row>
    <row r="35" spans="1:16" ht="13.5" customHeight="1" x14ac:dyDescent="0.35">
      <c r="A35" s="268" t="s">
        <v>27</v>
      </c>
      <c r="B35" s="269" t="s">
        <v>713</v>
      </c>
      <c r="C35" s="270">
        <v>19000</v>
      </c>
      <c r="D35" s="270">
        <v>19000</v>
      </c>
      <c r="E35" s="270">
        <v>0</v>
      </c>
      <c r="F35" s="270">
        <v>19000</v>
      </c>
      <c r="G35" s="270">
        <v>19000</v>
      </c>
      <c r="H35" s="270">
        <v>19000</v>
      </c>
      <c r="I35" s="270">
        <v>19000</v>
      </c>
      <c r="J35" s="270">
        <v>19000</v>
      </c>
      <c r="K35" s="270">
        <v>19000</v>
      </c>
      <c r="L35" s="270">
        <v>19000</v>
      </c>
      <c r="M35" s="270">
        <v>19000</v>
      </c>
      <c r="N35" s="270">
        <v>19000</v>
      </c>
      <c r="O35" s="271">
        <f t="shared" si="0"/>
        <v>209000</v>
      </c>
      <c r="P35" s="14">
        <f>IFERROR(O35/O4,0)</f>
        <v>9.8837767168770393E-2</v>
      </c>
    </row>
    <row r="36" spans="1:16" ht="13.5" customHeight="1" x14ac:dyDescent="0.35">
      <c r="A36" s="268" t="s">
        <v>150</v>
      </c>
      <c r="B36" s="269" t="s">
        <v>714</v>
      </c>
      <c r="C36" s="270">
        <v>50842.5</v>
      </c>
      <c r="D36" s="270">
        <v>49882.5</v>
      </c>
      <c r="E36" s="270">
        <v>50467.05</v>
      </c>
      <c r="F36" s="270">
        <v>51458.49</v>
      </c>
      <c r="G36" s="270">
        <v>50893.919999999998</v>
      </c>
      <c r="H36" s="270">
        <v>49558.23</v>
      </c>
      <c r="I36" s="270">
        <v>49131.360000000001</v>
      </c>
      <c r="J36" s="270">
        <v>49475.61</v>
      </c>
      <c r="K36" s="270">
        <v>48979.89</v>
      </c>
      <c r="L36" s="270">
        <v>47465.19</v>
      </c>
      <c r="M36" s="270">
        <v>47671.74</v>
      </c>
      <c r="N36" s="270">
        <v>47372.37</v>
      </c>
      <c r="O36" s="271">
        <f t="shared" ref="O36:O67" si="1">SUM(C36:N36)</f>
        <v>593198.85</v>
      </c>
      <c r="P36" s="14">
        <f>IFERROR(O36/O4,0)</f>
        <v>0.28052846804345621</v>
      </c>
    </row>
    <row r="37" spans="1:16" ht="13.5" customHeight="1" x14ac:dyDescent="0.35">
      <c r="A37" s="268" t="s">
        <v>152</v>
      </c>
      <c r="B37" s="269" t="s">
        <v>715</v>
      </c>
      <c r="C37" s="270">
        <v>156.78</v>
      </c>
      <c r="D37" s="270">
        <v>0</v>
      </c>
      <c r="E37" s="270">
        <v>0</v>
      </c>
      <c r="F37" s="270">
        <v>313.56</v>
      </c>
      <c r="G37" s="270">
        <v>0</v>
      </c>
      <c r="H37" s="270">
        <v>313.56</v>
      </c>
      <c r="I37" s="270">
        <v>0</v>
      </c>
      <c r="J37" s="270">
        <v>156.78</v>
      </c>
      <c r="K37" s="270">
        <v>156.78</v>
      </c>
      <c r="L37" s="270">
        <v>156.78</v>
      </c>
      <c r="M37" s="270">
        <v>156.78</v>
      </c>
      <c r="N37" s="270">
        <v>156.78</v>
      </c>
      <c r="O37" s="271">
        <f t="shared" si="1"/>
        <v>1567.8</v>
      </c>
      <c r="P37" s="14">
        <f>IFERROR(O37/O4,0)</f>
        <v>7.4142512615884312E-4</v>
      </c>
    </row>
    <row r="38" spans="1:16" ht="13.5" customHeight="1" x14ac:dyDescent="0.35">
      <c r="A38" s="268" t="s">
        <v>25</v>
      </c>
      <c r="B38" s="269" t="s">
        <v>716</v>
      </c>
      <c r="C38" s="270">
        <v>22754.51</v>
      </c>
      <c r="D38" s="270">
        <v>24839.759999999998</v>
      </c>
      <c r="E38" s="270">
        <v>23900.6</v>
      </c>
      <c r="F38" s="270">
        <v>23465.439999999999</v>
      </c>
      <c r="G38" s="270">
        <v>21023.01</v>
      </c>
      <c r="H38" s="270">
        <v>19337.14</v>
      </c>
      <c r="I38" s="270">
        <v>18258.2</v>
      </c>
      <c r="J38" s="270">
        <v>17629.23</v>
      </c>
      <c r="K38" s="270">
        <v>18321.68</v>
      </c>
      <c r="L38" s="270">
        <v>17355.599999999999</v>
      </c>
      <c r="M38" s="270">
        <v>17838.55</v>
      </c>
      <c r="N38" s="270">
        <v>19557.349999999999</v>
      </c>
      <c r="O38" s="271">
        <f t="shared" si="1"/>
        <v>244281.07</v>
      </c>
      <c r="P38" s="14">
        <f>IFERROR(O38/O4,0)</f>
        <v>0.11552246660477561</v>
      </c>
    </row>
    <row r="39" spans="1:16" ht="13.5" customHeight="1" x14ac:dyDescent="0.35">
      <c r="A39" s="268" t="s">
        <v>29</v>
      </c>
      <c r="B39" s="269" t="s">
        <v>28</v>
      </c>
      <c r="C39" s="270">
        <v>1097.03</v>
      </c>
      <c r="D39" s="270">
        <v>1043.05</v>
      </c>
      <c r="E39" s="270">
        <v>863.03</v>
      </c>
      <c r="F39" s="270">
        <v>696.54</v>
      </c>
      <c r="G39" s="270">
        <v>807.32</v>
      </c>
      <c r="H39" s="270">
        <v>640.53</v>
      </c>
      <c r="I39" s="270">
        <v>451.97</v>
      </c>
      <c r="J39" s="270">
        <v>540.4</v>
      </c>
      <c r="K39" s="270">
        <v>599.6</v>
      </c>
      <c r="L39" s="270">
        <v>487.38</v>
      </c>
      <c r="M39" s="270">
        <v>643.51</v>
      </c>
      <c r="N39" s="270">
        <v>485.11</v>
      </c>
      <c r="O39" s="271">
        <f t="shared" si="1"/>
        <v>8355.4699999999993</v>
      </c>
      <c r="P39" s="14">
        <f>IFERROR(O39/O4,0)</f>
        <v>3.951368413615531E-3</v>
      </c>
    </row>
    <row r="40" spans="1:16" ht="13.5" customHeight="1" x14ac:dyDescent="0.35">
      <c r="A40" s="268" t="s">
        <v>154</v>
      </c>
      <c r="B40" s="269" t="s">
        <v>717</v>
      </c>
      <c r="C40" s="270">
        <v>184.75</v>
      </c>
      <c r="D40" s="270">
        <v>184.75</v>
      </c>
      <c r="E40" s="270">
        <v>0</v>
      </c>
      <c r="F40" s="270">
        <v>0</v>
      </c>
      <c r="G40" s="270">
        <v>127.12</v>
      </c>
      <c r="H40" s="270">
        <v>91.65</v>
      </c>
      <c r="I40" s="270">
        <v>91.65</v>
      </c>
      <c r="J40" s="270">
        <v>91.65</v>
      </c>
      <c r="K40" s="270">
        <v>0</v>
      </c>
      <c r="L40" s="270">
        <v>91.65</v>
      </c>
      <c r="M40" s="270">
        <v>91.65</v>
      </c>
      <c r="N40" s="270">
        <v>178.07</v>
      </c>
      <c r="O40" s="271">
        <f t="shared" si="1"/>
        <v>1132.9399999999998</v>
      </c>
      <c r="P40" s="14">
        <f>IFERROR(O40/O4,0)</f>
        <v>5.3577636333103688E-4</v>
      </c>
    </row>
    <row r="41" spans="1:16" ht="13.5" customHeight="1" x14ac:dyDescent="0.35">
      <c r="A41" s="268" t="s">
        <v>93</v>
      </c>
      <c r="B41" s="269" t="s">
        <v>718</v>
      </c>
      <c r="C41" s="270">
        <v>0</v>
      </c>
      <c r="D41" s="270">
        <v>0</v>
      </c>
      <c r="E41" s="270">
        <v>0</v>
      </c>
      <c r="F41" s="270">
        <v>0</v>
      </c>
      <c r="G41" s="270">
        <v>0</v>
      </c>
      <c r="H41" s="270">
        <v>0</v>
      </c>
      <c r="I41" s="270">
        <v>0</v>
      </c>
      <c r="J41" s="270">
        <v>0</v>
      </c>
      <c r="K41" s="270">
        <v>0</v>
      </c>
      <c r="L41" s="270">
        <v>0</v>
      </c>
      <c r="M41" s="270">
        <v>7756.82</v>
      </c>
      <c r="N41" s="270">
        <v>3600</v>
      </c>
      <c r="O41" s="271">
        <f t="shared" si="1"/>
        <v>11356.82</v>
      </c>
      <c r="P41" s="14">
        <f>IFERROR(O41/O4,0)</f>
        <v>5.3707307700365308E-3</v>
      </c>
    </row>
    <row r="42" spans="1:16" ht="13.5" customHeight="1" x14ac:dyDescent="0.35">
      <c r="A42" s="268" t="s">
        <v>156</v>
      </c>
      <c r="B42" s="269" t="s">
        <v>719</v>
      </c>
      <c r="C42" s="270">
        <v>1159.1600000000001</v>
      </c>
      <c r="D42" s="270">
        <v>0</v>
      </c>
      <c r="E42" s="270">
        <v>0</v>
      </c>
      <c r="F42" s="270">
        <v>18</v>
      </c>
      <c r="G42" s="270">
        <v>0</v>
      </c>
      <c r="H42" s="270">
        <v>402.54</v>
      </c>
      <c r="I42" s="270">
        <v>0</v>
      </c>
      <c r="J42" s="270">
        <v>1420</v>
      </c>
      <c r="K42" s="270">
        <v>0</v>
      </c>
      <c r="L42" s="270">
        <v>0</v>
      </c>
      <c r="M42" s="270">
        <v>0</v>
      </c>
      <c r="N42" s="270">
        <v>0</v>
      </c>
      <c r="O42" s="271">
        <f t="shared" si="1"/>
        <v>2999.7</v>
      </c>
      <c r="P42" s="14">
        <f>IFERROR(O42/O4,0)</f>
        <v>1.4185820582591413E-3</v>
      </c>
    </row>
    <row r="43" spans="1:16" ht="13.5" customHeight="1" x14ac:dyDescent="0.35">
      <c r="A43" s="268" t="s">
        <v>158</v>
      </c>
      <c r="B43" s="269" t="s">
        <v>720</v>
      </c>
      <c r="C43" s="270">
        <v>0</v>
      </c>
      <c r="D43" s="270">
        <v>0</v>
      </c>
      <c r="E43" s="270">
        <v>800</v>
      </c>
      <c r="F43" s="270">
        <v>0</v>
      </c>
      <c r="G43" s="270">
        <v>0</v>
      </c>
      <c r="H43" s="270">
        <v>0</v>
      </c>
      <c r="I43" s="270">
        <v>0</v>
      </c>
      <c r="J43" s="270">
        <v>0</v>
      </c>
      <c r="K43" s="270">
        <v>0</v>
      </c>
      <c r="L43" s="270">
        <v>0</v>
      </c>
      <c r="M43" s="270">
        <v>250</v>
      </c>
      <c r="N43" s="270">
        <v>0</v>
      </c>
      <c r="O43" s="271">
        <f t="shared" si="1"/>
        <v>1050</v>
      </c>
      <c r="P43" s="14">
        <f>IFERROR(O43/O4,0)</f>
        <v>4.9655337572827233E-4</v>
      </c>
    </row>
    <row r="44" spans="1:16" ht="13.5" customHeight="1" x14ac:dyDescent="0.35">
      <c r="A44" s="268" t="s">
        <v>160</v>
      </c>
      <c r="B44" s="269" t="s">
        <v>721</v>
      </c>
      <c r="C44" s="270">
        <v>1200</v>
      </c>
      <c r="D44" s="270">
        <v>0</v>
      </c>
      <c r="E44" s="270">
        <v>0</v>
      </c>
      <c r="F44" s="270">
        <v>0</v>
      </c>
      <c r="G44" s="270">
        <v>0</v>
      </c>
      <c r="H44" s="270">
        <v>0</v>
      </c>
      <c r="I44" s="270">
        <v>0</v>
      </c>
      <c r="J44" s="270">
        <v>0</v>
      </c>
      <c r="K44" s="270">
        <v>0</v>
      </c>
      <c r="L44" s="270">
        <v>0</v>
      </c>
      <c r="M44" s="270">
        <v>0</v>
      </c>
      <c r="N44" s="270">
        <v>0</v>
      </c>
      <c r="O44" s="271">
        <f t="shared" si="1"/>
        <v>1200</v>
      </c>
      <c r="P44" s="14">
        <f>IFERROR(O44/O4,0)</f>
        <v>5.6748957226088268E-4</v>
      </c>
    </row>
    <row r="45" spans="1:16" ht="13.5" customHeight="1" x14ac:dyDescent="0.35">
      <c r="A45" s="268" t="s">
        <v>162</v>
      </c>
      <c r="B45" s="269" t="s">
        <v>722</v>
      </c>
      <c r="C45" s="270">
        <v>0</v>
      </c>
      <c r="D45" s="270">
        <v>0</v>
      </c>
      <c r="E45" s="270">
        <v>0</v>
      </c>
      <c r="F45" s="270">
        <v>0</v>
      </c>
      <c r="G45" s="270">
        <v>0</v>
      </c>
      <c r="H45" s="270">
        <v>6500</v>
      </c>
      <c r="I45" s="270">
        <v>0</v>
      </c>
      <c r="J45" s="270">
        <v>0</v>
      </c>
      <c r="K45" s="270">
        <v>0</v>
      </c>
      <c r="L45" s="270">
        <v>0</v>
      </c>
      <c r="M45" s="270">
        <v>0</v>
      </c>
      <c r="N45" s="270">
        <v>0</v>
      </c>
      <c r="O45" s="271">
        <f t="shared" si="1"/>
        <v>6500</v>
      </c>
      <c r="P45" s="14">
        <f>IFERROR(O45/O4,0)</f>
        <v>3.0739018497464477E-3</v>
      </c>
    </row>
    <row r="46" spans="1:16" ht="13.5" customHeight="1" x14ac:dyDescent="0.35">
      <c r="A46" s="268" t="s">
        <v>164</v>
      </c>
      <c r="B46" s="269" t="s">
        <v>723</v>
      </c>
      <c r="C46" s="270">
        <v>0</v>
      </c>
      <c r="D46" s="270">
        <v>0</v>
      </c>
      <c r="E46" s="270">
        <v>0</v>
      </c>
      <c r="F46" s="270">
        <v>0</v>
      </c>
      <c r="G46" s="270">
        <v>0</v>
      </c>
      <c r="H46" s="270">
        <v>0</v>
      </c>
      <c r="I46" s="270">
        <v>0</v>
      </c>
      <c r="J46" s="270">
        <v>0</v>
      </c>
      <c r="K46" s="270">
        <v>0</v>
      </c>
      <c r="L46" s="270">
        <v>0</v>
      </c>
      <c r="M46" s="270">
        <v>0</v>
      </c>
      <c r="N46" s="270">
        <v>156.93</v>
      </c>
      <c r="O46" s="271">
        <f t="shared" si="1"/>
        <v>156.93</v>
      </c>
      <c r="P46" s="14">
        <f>IFERROR(O46/O4,0)</f>
        <v>7.4213448812416935E-5</v>
      </c>
    </row>
    <row r="47" spans="1:16" ht="13.5" customHeight="1" x14ac:dyDescent="0.35">
      <c r="A47" s="268" t="s">
        <v>95</v>
      </c>
      <c r="B47" s="269" t="s">
        <v>724</v>
      </c>
      <c r="C47" s="270">
        <v>1700</v>
      </c>
      <c r="D47" s="270">
        <v>1700</v>
      </c>
      <c r="E47" s="270">
        <v>1700</v>
      </c>
      <c r="F47" s="270">
        <v>1700</v>
      </c>
      <c r="G47" s="270">
        <v>1700</v>
      </c>
      <c r="H47" s="270">
        <v>1729.9</v>
      </c>
      <c r="I47" s="270">
        <v>1700</v>
      </c>
      <c r="J47" s="270">
        <v>0</v>
      </c>
      <c r="K47" s="270">
        <v>0</v>
      </c>
      <c r="L47" s="270">
        <v>0</v>
      </c>
      <c r="M47" s="270">
        <v>0</v>
      </c>
      <c r="N47" s="270">
        <v>0</v>
      </c>
      <c r="O47" s="271">
        <f t="shared" si="1"/>
        <v>11929.9</v>
      </c>
      <c r="P47" s="14">
        <f>IFERROR(O47/O4,0)</f>
        <v>5.6417448734292532E-3</v>
      </c>
    </row>
    <row r="48" spans="1:16" ht="13.5" customHeight="1" x14ac:dyDescent="0.35">
      <c r="A48" s="268" t="s">
        <v>97</v>
      </c>
      <c r="B48" s="269" t="s">
        <v>725</v>
      </c>
      <c r="C48" s="270">
        <v>29.9</v>
      </c>
      <c r="D48" s="270">
        <v>0</v>
      </c>
      <c r="E48" s="270">
        <v>65.78</v>
      </c>
      <c r="F48" s="270">
        <v>65.78</v>
      </c>
      <c r="G48" s="270">
        <v>0</v>
      </c>
      <c r="H48" s="270">
        <v>0</v>
      </c>
      <c r="I48" s="270">
        <v>0</v>
      </c>
      <c r="J48" s="270">
        <v>0</v>
      </c>
      <c r="K48" s="270">
        <v>0</v>
      </c>
      <c r="L48" s="270">
        <v>1558.37</v>
      </c>
      <c r="M48" s="270">
        <v>0</v>
      </c>
      <c r="N48" s="270">
        <v>0</v>
      </c>
      <c r="O48" s="271">
        <f t="shared" si="1"/>
        <v>1719.83</v>
      </c>
      <c r="P48" s="14">
        <f>IFERROR(O48/O4,0)</f>
        <v>8.1332132588452812E-4</v>
      </c>
    </row>
    <row r="49" spans="1:16" ht="13.5" customHeight="1" x14ac:dyDescent="0.35">
      <c r="A49" s="268" t="s">
        <v>99</v>
      </c>
      <c r="B49" s="269" t="s">
        <v>726</v>
      </c>
      <c r="C49" s="270">
        <v>3008.55</v>
      </c>
      <c r="D49" s="270">
        <v>2128.44</v>
      </c>
      <c r="E49" s="270">
        <v>779.67</v>
      </c>
      <c r="F49" s="270">
        <v>3361.62</v>
      </c>
      <c r="G49" s="270">
        <v>2609.61</v>
      </c>
      <c r="H49" s="270">
        <v>3475.96</v>
      </c>
      <c r="I49" s="270">
        <v>4555.87</v>
      </c>
      <c r="J49" s="270">
        <v>2555.65</v>
      </c>
      <c r="K49" s="270">
        <v>1381.47</v>
      </c>
      <c r="L49" s="270">
        <v>2194.52</v>
      </c>
      <c r="M49" s="270">
        <v>2957.83</v>
      </c>
      <c r="N49" s="270">
        <v>4720.6899999999996</v>
      </c>
      <c r="O49" s="271">
        <f t="shared" si="1"/>
        <v>33729.880000000005</v>
      </c>
      <c r="P49" s="14">
        <f>IFERROR(O49/O4,0)</f>
        <v>1.5951129311342419E-2</v>
      </c>
    </row>
    <row r="50" spans="1:16" ht="13.5" customHeight="1" x14ac:dyDescent="0.35">
      <c r="A50" s="268" t="s">
        <v>166</v>
      </c>
      <c r="B50" s="269" t="s">
        <v>165</v>
      </c>
      <c r="C50" s="270">
        <v>1040</v>
      </c>
      <c r="D50" s="270">
        <v>2606.67</v>
      </c>
      <c r="E50" s="270">
        <v>1785</v>
      </c>
      <c r="F50" s="270">
        <v>3735.31</v>
      </c>
      <c r="G50" s="270">
        <v>1903.65</v>
      </c>
      <c r="H50" s="270">
        <v>2043.99</v>
      </c>
      <c r="I50" s="270">
        <v>2142</v>
      </c>
      <c r="J50" s="270">
        <v>951.72</v>
      </c>
      <c r="K50" s="270">
        <v>0</v>
      </c>
      <c r="L50" s="270">
        <v>0</v>
      </c>
      <c r="M50" s="270">
        <v>0</v>
      </c>
      <c r="N50" s="270">
        <v>420</v>
      </c>
      <c r="O50" s="271">
        <f t="shared" si="1"/>
        <v>16628.339999999997</v>
      </c>
      <c r="P50" s="14">
        <f>IFERROR(O50/O4,0)</f>
        <v>7.8636746283404363E-3</v>
      </c>
    </row>
    <row r="51" spans="1:16" ht="13.5" customHeight="1" x14ac:dyDescent="0.35">
      <c r="A51" s="268" t="s">
        <v>168</v>
      </c>
      <c r="B51" s="269" t="s">
        <v>167</v>
      </c>
      <c r="C51" s="270">
        <v>100</v>
      </c>
      <c r="D51" s="270">
        <v>0</v>
      </c>
      <c r="E51" s="270">
        <v>0</v>
      </c>
      <c r="F51" s="270">
        <v>0</v>
      </c>
      <c r="G51" s="270">
        <v>0</v>
      </c>
      <c r="H51" s="270">
        <v>0</v>
      </c>
      <c r="I51" s="270">
        <v>0</v>
      </c>
      <c r="J51" s="270">
        <v>234</v>
      </c>
      <c r="K51" s="270">
        <v>0</v>
      </c>
      <c r="L51" s="270">
        <v>375</v>
      </c>
      <c r="M51" s="270">
        <v>0</v>
      </c>
      <c r="N51" s="270">
        <v>360</v>
      </c>
      <c r="O51" s="271">
        <f t="shared" si="1"/>
        <v>1069</v>
      </c>
      <c r="P51" s="14">
        <f>IFERROR(O51/O4,0)</f>
        <v>5.0553862728906958E-4</v>
      </c>
    </row>
    <row r="52" spans="1:16" ht="13.5" customHeight="1" x14ac:dyDescent="0.35">
      <c r="A52" s="268" t="s">
        <v>101</v>
      </c>
      <c r="B52" s="269" t="s">
        <v>727</v>
      </c>
      <c r="C52" s="270">
        <v>1896.54</v>
      </c>
      <c r="D52" s="270">
        <v>772.04</v>
      </c>
      <c r="E52" s="270">
        <v>0</v>
      </c>
      <c r="F52" s="270">
        <v>77</v>
      </c>
      <c r="G52" s="270">
        <v>374.9</v>
      </c>
      <c r="H52" s="270">
        <v>216.29</v>
      </c>
      <c r="I52" s="270">
        <v>90.09</v>
      </c>
      <c r="J52" s="270">
        <v>432.76</v>
      </c>
      <c r="K52" s="270">
        <v>207.16</v>
      </c>
      <c r="L52" s="270">
        <v>3739.87</v>
      </c>
      <c r="M52" s="270">
        <v>25.36</v>
      </c>
      <c r="N52" s="270">
        <v>0</v>
      </c>
      <c r="O52" s="271">
        <f t="shared" si="1"/>
        <v>7832.0099999999993</v>
      </c>
      <c r="P52" s="14">
        <f>IFERROR(O52/O4,0)</f>
        <v>3.703820004035796E-3</v>
      </c>
    </row>
    <row r="53" spans="1:16" ht="13.5" customHeight="1" x14ac:dyDescent="0.35">
      <c r="A53" s="268" t="s">
        <v>35</v>
      </c>
      <c r="B53" s="269" t="s">
        <v>728</v>
      </c>
      <c r="C53" s="270">
        <v>500</v>
      </c>
      <c r="D53" s="270">
        <v>0</v>
      </c>
      <c r="E53" s="270">
        <v>0</v>
      </c>
      <c r="F53" s="270">
        <v>0</v>
      </c>
      <c r="G53" s="270">
        <v>0</v>
      </c>
      <c r="H53" s="270">
        <v>0</v>
      </c>
      <c r="I53" s="270">
        <v>396</v>
      </c>
      <c r="J53" s="270">
        <v>660</v>
      </c>
      <c r="K53" s="270">
        <v>0</v>
      </c>
      <c r="L53" s="270">
        <v>0</v>
      </c>
      <c r="M53" s="270">
        <v>0</v>
      </c>
      <c r="N53" s="270">
        <v>0</v>
      </c>
      <c r="O53" s="271">
        <f t="shared" si="1"/>
        <v>1556</v>
      </c>
      <c r="P53" s="14">
        <f>IFERROR(O53/O4,0)</f>
        <v>7.3584481203161115E-4</v>
      </c>
    </row>
    <row r="54" spans="1:16" ht="13.5" customHeight="1" x14ac:dyDescent="0.35">
      <c r="A54" s="268" t="s">
        <v>37</v>
      </c>
      <c r="B54" s="269" t="s">
        <v>729</v>
      </c>
      <c r="C54" s="270">
        <v>560</v>
      </c>
      <c r="D54" s="270">
        <v>240</v>
      </c>
      <c r="E54" s="270">
        <v>672</v>
      </c>
      <c r="F54" s="270">
        <v>1450.51</v>
      </c>
      <c r="G54" s="270">
        <v>651</v>
      </c>
      <c r="H54" s="270">
        <v>0</v>
      </c>
      <c r="I54" s="270">
        <v>1648.42</v>
      </c>
      <c r="J54" s="270">
        <v>525</v>
      </c>
      <c r="K54" s="270">
        <v>306.55</v>
      </c>
      <c r="L54" s="270">
        <v>357</v>
      </c>
      <c r="M54" s="270">
        <v>1163.01</v>
      </c>
      <c r="N54" s="270">
        <v>315</v>
      </c>
      <c r="O54" s="271">
        <f t="shared" si="1"/>
        <v>7888.4900000000007</v>
      </c>
      <c r="P54" s="14">
        <f>IFERROR(O54/O4,0)</f>
        <v>3.7305298465702087E-3</v>
      </c>
    </row>
    <row r="55" spans="1:16" ht="13.5" customHeight="1" x14ac:dyDescent="0.35">
      <c r="A55" s="268" t="s">
        <v>116</v>
      </c>
      <c r="B55" s="269" t="s">
        <v>730</v>
      </c>
      <c r="C55" s="270">
        <v>395.43</v>
      </c>
      <c r="D55" s="270">
        <v>178.6</v>
      </c>
      <c r="E55" s="270">
        <v>140.37</v>
      </c>
      <c r="F55" s="270">
        <v>555.38</v>
      </c>
      <c r="G55" s="270">
        <v>364.4</v>
      </c>
      <c r="H55" s="270">
        <v>210.23</v>
      </c>
      <c r="I55" s="270">
        <v>188.2</v>
      </c>
      <c r="J55" s="270">
        <v>187.15</v>
      </c>
      <c r="K55" s="270">
        <v>192.87</v>
      </c>
      <c r="L55" s="270">
        <v>186.36</v>
      </c>
      <c r="M55" s="270">
        <v>186.63</v>
      </c>
      <c r="N55" s="270">
        <v>230.47</v>
      </c>
      <c r="O55" s="271">
        <f t="shared" si="1"/>
        <v>3016.0899999999997</v>
      </c>
      <c r="P55" s="14">
        <f>IFERROR(O55/O4,0)</f>
        <v>1.4263330200002711E-3</v>
      </c>
    </row>
    <row r="56" spans="1:16" ht="13.5" customHeight="1" x14ac:dyDescent="0.35">
      <c r="A56" s="268" t="s">
        <v>118</v>
      </c>
      <c r="B56" s="269" t="s">
        <v>117</v>
      </c>
      <c r="C56" s="270">
        <v>17.170000000000002</v>
      </c>
      <c r="D56" s="270">
        <v>22.63</v>
      </c>
      <c r="E56" s="270">
        <v>4.84</v>
      </c>
      <c r="F56" s="270">
        <v>15.22</v>
      </c>
      <c r="G56" s="270">
        <v>13.73</v>
      </c>
      <c r="H56" s="270">
        <v>14.82</v>
      </c>
      <c r="I56" s="270">
        <v>15.68</v>
      </c>
      <c r="J56" s="270">
        <v>16.84</v>
      </c>
      <c r="K56" s="270">
        <v>15.5</v>
      </c>
      <c r="L56" s="270">
        <v>13.6</v>
      </c>
      <c r="M56" s="270">
        <v>12</v>
      </c>
      <c r="N56" s="270">
        <v>21.37</v>
      </c>
      <c r="O56" s="271">
        <f t="shared" si="1"/>
        <v>183.4</v>
      </c>
      <c r="P56" s="14">
        <f>IFERROR(O56/O4,0)</f>
        <v>8.673132296053823E-5</v>
      </c>
    </row>
    <row r="57" spans="1:16" ht="13.5" customHeight="1" x14ac:dyDescent="0.35">
      <c r="A57" s="268" t="s">
        <v>120</v>
      </c>
      <c r="B57" s="269" t="s">
        <v>731</v>
      </c>
      <c r="C57" s="270">
        <v>0</v>
      </c>
      <c r="D57" s="270">
        <v>0</v>
      </c>
      <c r="E57" s="270">
        <v>0</v>
      </c>
      <c r="F57" s="270">
        <v>0</v>
      </c>
      <c r="G57" s="270">
        <v>0</v>
      </c>
      <c r="H57" s="270">
        <v>0</v>
      </c>
      <c r="I57" s="270">
        <v>0</v>
      </c>
      <c r="J57" s="270">
        <v>0</v>
      </c>
      <c r="K57" s="270">
        <v>0</v>
      </c>
      <c r="L57" s="270">
        <v>13222.36</v>
      </c>
      <c r="M57" s="270">
        <v>0</v>
      </c>
      <c r="N57" s="270">
        <v>0</v>
      </c>
      <c r="O57" s="271">
        <f t="shared" si="1"/>
        <v>13222.36</v>
      </c>
      <c r="P57" s="14">
        <f>IFERROR(O57/O4,0)</f>
        <v>6.2529595172328371E-3</v>
      </c>
    </row>
    <row r="58" spans="1:16" ht="13.5" customHeight="1" x14ac:dyDescent="0.35">
      <c r="A58" s="268" t="s">
        <v>122</v>
      </c>
      <c r="B58" s="269" t="s">
        <v>121</v>
      </c>
      <c r="C58" s="270">
        <v>0</v>
      </c>
      <c r="D58" s="270">
        <v>0</v>
      </c>
      <c r="E58" s="270">
        <v>0</v>
      </c>
      <c r="F58" s="270">
        <v>0</v>
      </c>
      <c r="G58" s="270">
        <v>0</v>
      </c>
      <c r="H58" s="270">
        <v>0</v>
      </c>
      <c r="I58" s="270">
        <v>0</v>
      </c>
      <c r="J58" s="270">
        <v>0</v>
      </c>
      <c r="K58" s="270">
        <v>0</v>
      </c>
      <c r="L58" s="270">
        <v>0</v>
      </c>
      <c r="M58" s="270">
        <v>0</v>
      </c>
      <c r="N58" s="270">
        <v>0</v>
      </c>
      <c r="O58" s="271">
        <f t="shared" si="1"/>
        <v>0</v>
      </c>
      <c r="P58" s="14">
        <f>IFERROR(O58/O4,0)</f>
        <v>0</v>
      </c>
    </row>
    <row r="59" spans="1:16" ht="13.5" customHeight="1" x14ac:dyDescent="0.35">
      <c r="A59" s="268" t="s">
        <v>124</v>
      </c>
      <c r="B59" s="269" t="s">
        <v>732</v>
      </c>
      <c r="C59" s="270">
        <v>4</v>
      </c>
      <c r="D59" s="270">
        <v>0</v>
      </c>
      <c r="E59" s="270">
        <v>0</v>
      </c>
      <c r="F59" s="270">
        <v>0</v>
      </c>
      <c r="G59" s="270">
        <v>0</v>
      </c>
      <c r="H59" s="270">
        <v>0</v>
      </c>
      <c r="I59" s="270">
        <v>0</v>
      </c>
      <c r="J59" s="270">
        <v>0</v>
      </c>
      <c r="K59" s="270">
        <v>0</v>
      </c>
      <c r="L59" s="270">
        <v>0</v>
      </c>
      <c r="M59" s="270">
        <v>0</v>
      </c>
      <c r="N59" s="270">
        <v>0</v>
      </c>
      <c r="O59" s="271">
        <f t="shared" si="1"/>
        <v>4</v>
      </c>
      <c r="P59" s="14">
        <f>IFERROR(O59/O4,0)</f>
        <v>1.8916319075362754E-6</v>
      </c>
    </row>
    <row r="60" spans="1:16" ht="13.5" customHeight="1" x14ac:dyDescent="0.35">
      <c r="A60" s="268" t="s">
        <v>126</v>
      </c>
      <c r="B60" s="269" t="s">
        <v>125</v>
      </c>
      <c r="C60" s="270">
        <v>0</v>
      </c>
      <c r="D60" s="270">
        <v>0</v>
      </c>
      <c r="E60" s="270">
        <v>0</v>
      </c>
      <c r="F60" s="270">
        <v>0</v>
      </c>
      <c r="G60" s="270">
        <v>0</v>
      </c>
      <c r="H60" s="270">
        <v>5049.28</v>
      </c>
      <c r="I60" s="270">
        <v>0</v>
      </c>
      <c r="J60" s="270">
        <v>0</v>
      </c>
      <c r="K60" s="270">
        <v>0</v>
      </c>
      <c r="L60" s="270">
        <v>0</v>
      </c>
      <c r="M60" s="270">
        <v>0</v>
      </c>
      <c r="N60" s="270">
        <v>0</v>
      </c>
      <c r="O60" s="271">
        <f t="shared" si="1"/>
        <v>5049.28</v>
      </c>
      <c r="P60" s="14">
        <f>IFERROR(O60/O4,0)</f>
        <v>2.3878447895211911E-3</v>
      </c>
    </row>
    <row r="61" spans="1:16" ht="13.5" customHeight="1" x14ac:dyDescent="0.35">
      <c r="A61" s="268" t="s">
        <v>128</v>
      </c>
      <c r="B61" s="269" t="s">
        <v>127</v>
      </c>
      <c r="C61" s="270">
        <v>0</v>
      </c>
      <c r="D61" s="270">
        <v>0</v>
      </c>
      <c r="E61" s="270">
        <v>0</v>
      </c>
      <c r="F61" s="270">
        <v>0</v>
      </c>
      <c r="G61" s="270">
        <v>725.81</v>
      </c>
      <c r="H61" s="270">
        <v>168</v>
      </c>
      <c r="I61" s="270">
        <v>5379.15</v>
      </c>
      <c r="J61" s="270">
        <v>188.37</v>
      </c>
      <c r="K61" s="270">
        <v>185.85</v>
      </c>
      <c r="L61" s="270">
        <v>0</v>
      </c>
      <c r="M61" s="270">
        <v>186.45</v>
      </c>
      <c r="N61" s="270">
        <v>186.07</v>
      </c>
      <c r="O61" s="271">
        <f t="shared" si="1"/>
        <v>7019.6999999999989</v>
      </c>
      <c r="P61" s="14">
        <f>IFERROR(O61/O4,0)</f>
        <v>3.3196721253330977E-3</v>
      </c>
    </row>
    <row r="62" spans="1:16" ht="13.5" customHeight="1" x14ac:dyDescent="0.35">
      <c r="A62" s="268" t="s">
        <v>130</v>
      </c>
      <c r="B62" s="269" t="s">
        <v>129</v>
      </c>
      <c r="C62" s="270">
        <v>0</v>
      </c>
      <c r="D62" s="270">
        <v>0</v>
      </c>
      <c r="E62" s="270">
        <v>0</v>
      </c>
      <c r="F62" s="270">
        <v>0</v>
      </c>
      <c r="G62" s="270">
        <v>168</v>
      </c>
      <c r="H62" s="270">
        <v>190.68</v>
      </c>
      <c r="I62" s="270">
        <v>186.32</v>
      </c>
      <c r="J62" s="270">
        <v>0</v>
      </c>
      <c r="K62" s="270">
        <v>0</v>
      </c>
      <c r="L62" s="270">
        <v>182.07</v>
      </c>
      <c r="M62" s="270">
        <v>0</v>
      </c>
      <c r="N62" s="270">
        <v>0</v>
      </c>
      <c r="O62" s="271">
        <f t="shared" si="1"/>
        <v>727.06999999999994</v>
      </c>
      <c r="P62" s="14">
        <f>IFERROR(O62/O4,0)</f>
        <v>3.4383720275309989E-4</v>
      </c>
    </row>
    <row r="63" spans="1:16" ht="13.5" customHeight="1" x14ac:dyDescent="0.35">
      <c r="A63" s="268" t="s">
        <v>733</v>
      </c>
      <c r="B63" s="269" t="s">
        <v>734</v>
      </c>
      <c r="C63" s="270">
        <v>0</v>
      </c>
      <c r="D63" s="270">
        <v>0</v>
      </c>
      <c r="E63" s="270">
        <v>0</v>
      </c>
      <c r="F63" s="270">
        <v>0</v>
      </c>
      <c r="G63" s="270">
        <v>0</v>
      </c>
      <c r="H63" s="270">
        <v>0</v>
      </c>
      <c r="I63" s="270">
        <v>0</v>
      </c>
      <c r="J63" s="270">
        <v>0</v>
      </c>
      <c r="K63" s="270">
        <v>0</v>
      </c>
      <c r="L63" s="270">
        <v>0</v>
      </c>
      <c r="M63" s="270">
        <v>0</v>
      </c>
      <c r="N63" s="270">
        <v>0</v>
      </c>
      <c r="O63" s="271">
        <f t="shared" si="1"/>
        <v>0</v>
      </c>
      <c r="P63" s="14">
        <f>IFERROR(O63/O4,0)</f>
        <v>0</v>
      </c>
    </row>
    <row r="64" spans="1:16" ht="13.5" customHeight="1" x14ac:dyDescent="0.35">
      <c r="A64" s="268" t="s">
        <v>39</v>
      </c>
      <c r="B64" s="269" t="s">
        <v>735</v>
      </c>
      <c r="C64" s="270">
        <v>2449.14</v>
      </c>
      <c r="D64" s="270">
        <v>135.59</v>
      </c>
      <c r="E64" s="270">
        <v>2349.14</v>
      </c>
      <c r="F64" s="270">
        <v>0</v>
      </c>
      <c r="G64" s="270">
        <v>0</v>
      </c>
      <c r="H64" s="270">
        <v>756.36</v>
      </c>
      <c r="I64" s="270">
        <v>0</v>
      </c>
      <c r="J64" s="270">
        <v>387.96</v>
      </c>
      <c r="K64" s="270">
        <v>0</v>
      </c>
      <c r="L64" s="270">
        <v>818.63</v>
      </c>
      <c r="M64" s="270">
        <v>0</v>
      </c>
      <c r="N64" s="270">
        <v>1957.61</v>
      </c>
      <c r="O64" s="271">
        <f t="shared" si="1"/>
        <v>8854.43</v>
      </c>
      <c r="P64" s="14">
        <f>IFERROR(O64/O4,0)</f>
        <v>4.1873305777616063E-3</v>
      </c>
    </row>
    <row r="65" spans="1:16" ht="13.5" customHeight="1" x14ac:dyDescent="0.35">
      <c r="A65" s="268" t="s">
        <v>132</v>
      </c>
      <c r="B65" s="269" t="s">
        <v>736</v>
      </c>
      <c r="C65" s="270">
        <v>689.76</v>
      </c>
      <c r="D65" s="270">
        <v>355.24</v>
      </c>
      <c r="E65" s="270">
        <v>47.07</v>
      </c>
      <c r="F65" s="270">
        <v>69.58</v>
      </c>
      <c r="G65" s="270">
        <v>162.38999999999999</v>
      </c>
      <c r="H65" s="270">
        <v>40.049999999999997</v>
      </c>
      <c r="I65" s="270">
        <v>60.95</v>
      </c>
      <c r="J65" s="270">
        <v>381.34</v>
      </c>
      <c r="K65" s="270">
        <v>620.6</v>
      </c>
      <c r="L65" s="270">
        <v>26.25</v>
      </c>
      <c r="M65" s="270">
        <v>171.74</v>
      </c>
      <c r="N65" s="270">
        <v>8.9</v>
      </c>
      <c r="O65" s="271">
        <f t="shared" si="1"/>
        <v>2633.8700000000003</v>
      </c>
      <c r="P65" s="14">
        <f>IFERROR(O65/O4,0)</f>
        <v>1.2455781330756425E-3</v>
      </c>
    </row>
    <row r="66" spans="1:16" ht="13.5" customHeight="1" x14ac:dyDescent="0.35">
      <c r="A66" s="268" t="s">
        <v>41</v>
      </c>
      <c r="B66" s="269" t="s">
        <v>737</v>
      </c>
      <c r="C66" s="270">
        <v>0</v>
      </c>
      <c r="D66" s="270">
        <v>5.08</v>
      </c>
      <c r="E66" s="270">
        <v>1317.84</v>
      </c>
      <c r="F66" s="270">
        <v>1245.76</v>
      </c>
      <c r="G66" s="270">
        <v>0</v>
      </c>
      <c r="H66" s="270">
        <v>1066.9000000000001</v>
      </c>
      <c r="I66" s="270">
        <v>965.38</v>
      </c>
      <c r="J66" s="270">
        <v>979.7</v>
      </c>
      <c r="K66" s="270">
        <v>411.99</v>
      </c>
      <c r="L66" s="270">
        <v>758.13</v>
      </c>
      <c r="M66" s="270">
        <v>969.03</v>
      </c>
      <c r="N66" s="270">
        <v>0</v>
      </c>
      <c r="O66" s="271">
        <f t="shared" si="1"/>
        <v>7719.8099999999995</v>
      </c>
      <c r="P66" s="14">
        <f>IFERROR(O66/O4,0)</f>
        <v>3.6507597290294036E-3</v>
      </c>
    </row>
    <row r="67" spans="1:16" ht="13.5" customHeight="1" x14ac:dyDescent="0.35">
      <c r="A67" s="268" t="s">
        <v>43</v>
      </c>
      <c r="B67" s="269" t="s">
        <v>738</v>
      </c>
      <c r="C67" s="270">
        <v>409.16</v>
      </c>
      <c r="D67" s="270">
        <v>110.08</v>
      </c>
      <c r="E67" s="270">
        <v>754.12</v>
      </c>
      <c r="F67" s="270">
        <v>256.73</v>
      </c>
      <c r="G67" s="270">
        <v>151.26</v>
      </c>
      <c r="H67" s="270">
        <v>10.68</v>
      </c>
      <c r="I67" s="270">
        <v>401.4</v>
      </c>
      <c r="J67" s="270">
        <v>662.04</v>
      </c>
      <c r="K67" s="270">
        <v>165.96</v>
      </c>
      <c r="L67" s="270">
        <v>26.69</v>
      </c>
      <c r="M67" s="270">
        <v>1034.4100000000001</v>
      </c>
      <c r="N67" s="270">
        <v>35.590000000000003</v>
      </c>
      <c r="O67" s="271">
        <f t="shared" si="1"/>
        <v>4018.1200000000008</v>
      </c>
      <c r="P67" s="14">
        <f>IFERROR(O67/O4,0)</f>
        <v>1.9002010000774151E-3</v>
      </c>
    </row>
    <row r="68" spans="1:16" ht="13.5" customHeight="1" x14ac:dyDescent="0.35">
      <c r="A68" s="268" t="s">
        <v>134</v>
      </c>
      <c r="B68" s="269" t="s">
        <v>739</v>
      </c>
      <c r="C68" s="270">
        <v>32.1</v>
      </c>
      <c r="D68" s="270">
        <v>0</v>
      </c>
      <c r="E68" s="270">
        <v>185.34</v>
      </c>
      <c r="F68" s="270">
        <v>0</v>
      </c>
      <c r="G68" s="270">
        <v>0</v>
      </c>
      <c r="H68" s="270">
        <v>32.1</v>
      </c>
      <c r="I68" s="270">
        <v>-1</v>
      </c>
      <c r="J68" s="270">
        <v>0</v>
      </c>
      <c r="K68" s="270">
        <v>0</v>
      </c>
      <c r="L68" s="270">
        <v>0</v>
      </c>
      <c r="M68" s="270">
        <v>0</v>
      </c>
      <c r="N68" s="270">
        <v>0</v>
      </c>
      <c r="O68" s="271">
        <f t="shared" ref="O68:O85" si="2">SUM(C68:N68)</f>
        <v>248.54</v>
      </c>
      <c r="P68" s="14">
        <f>IFERROR(O68/O4,0)</f>
        <v>1.1753654857476647E-4</v>
      </c>
    </row>
    <row r="69" spans="1:16" ht="13.5" customHeight="1" x14ac:dyDescent="0.35">
      <c r="A69" s="268" t="s">
        <v>45</v>
      </c>
      <c r="B69" s="269" t="s">
        <v>740</v>
      </c>
      <c r="C69" s="270">
        <v>61.86</v>
      </c>
      <c r="D69" s="270">
        <v>212.12</v>
      </c>
      <c r="E69" s="270">
        <v>0</v>
      </c>
      <c r="F69" s="270">
        <v>0</v>
      </c>
      <c r="G69" s="270">
        <v>15.21</v>
      </c>
      <c r="H69" s="270">
        <v>32.57</v>
      </c>
      <c r="I69" s="270">
        <v>62.91</v>
      </c>
      <c r="J69" s="270">
        <v>20.55</v>
      </c>
      <c r="K69" s="270">
        <v>26.69</v>
      </c>
      <c r="L69" s="270">
        <v>0</v>
      </c>
      <c r="M69" s="270">
        <v>0</v>
      </c>
      <c r="N69" s="270">
        <v>319.89</v>
      </c>
      <c r="O69" s="271">
        <f t="shared" si="2"/>
        <v>751.8</v>
      </c>
      <c r="P69" s="14">
        <f>IFERROR(O69/O4,0)</f>
        <v>3.5553221702144295E-4</v>
      </c>
    </row>
    <row r="70" spans="1:16" ht="13.5" customHeight="1" x14ac:dyDescent="0.35">
      <c r="A70" s="268" t="s">
        <v>136</v>
      </c>
      <c r="B70" s="269" t="s">
        <v>135</v>
      </c>
      <c r="C70" s="270">
        <v>188.5</v>
      </c>
      <c r="D70" s="270">
        <v>694.79</v>
      </c>
      <c r="E70" s="270">
        <v>0</v>
      </c>
      <c r="F70" s="270">
        <v>183.85</v>
      </c>
      <c r="G70" s="270">
        <v>0</v>
      </c>
      <c r="H70" s="270">
        <v>0</v>
      </c>
      <c r="I70" s="270">
        <v>635.59</v>
      </c>
      <c r="J70" s="270">
        <v>155.34</v>
      </c>
      <c r="K70" s="270">
        <v>0</v>
      </c>
      <c r="L70" s="270">
        <v>0</v>
      </c>
      <c r="M70" s="270">
        <v>0</v>
      </c>
      <c r="N70" s="270">
        <v>0</v>
      </c>
      <c r="O70" s="271">
        <f t="shared" si="2"/>
        <v>1858.07</v>
      </c>
      <c r="P70" s="14">
        <f>IFERROR(O70/O4,0)</f>
        <v>8.7869612460898176E-4</v>
      </c>
    </row>
    <row r="71" spans="1:16" ht="13.5" customHeight="1" x14ac:dyDescent="0.35">
      <c r="A71" s="268" t="s">
        <v>138</v>
      </c>
      <c r="B71" s="269" t="s">
        <v>137</v>
      </c>
      <c r="C71" s="270">
        <v>0</v>
      </c>
      <c r="D71" s="270">
        <v>0</v>
      </c>
      <c r="E71" s="270">
        <v>52.12</v>
      </c>
      <c r="F71" s="270">
        <v>0</v>
      </c>
      <c r="G71" s="270">
        <v>0</v>
      </c>
      <c r="H71" s="270">
        <v>101.69</v>
      </c>
      <c r="I71" s="270">
        <v>556.36</v>
      </c>
      <c r="J71" s="270">
        <v>0</v>
      </c>
      <c r="K71" s="270">
        <v>0</v>
      </c>
      <c r="L71" s="270">
        <v>0</v>
      </c>
      <c r="M71" s="270">
        <v>0</v>
      </c>
      <c r="N71" s="270">
        <v>0</v>
      </c>
      <c r="O71" s="271">
        <f t="shared" si="2"/>
        <v>710.17000000000007</v>
      </c>
      <c r="P71" s="14">
        <f>IFERROR(O71/O4,0)</f>
        <v>3.358450579437592E-4</v>
      </c>
    </row>
    <row r="72" spans="1:16" ht="13.5" customHeight="1" x14ac:dyDescent="0.35">
      <c r="A72" s="268" t="s">
        <v>140</v>
      </c>
      <c r="B72" s="269" t="s">
        <v>139</v>
      </c>
      <c r="C72" s="270">
        <v>157.63</v>
      </c>
      <c r="D72" s="270">
        <v>0</v>
      </c>
      <c r="E72" s="270">
        <v>0</v>
      </c>
      <c r="F72" s="270">
        <v>74.58</v>
      </c>
      <c r="G72" s="270">
        <v>64.41</v>
      </c>
      <c r="H72" s="270">
        <v>356.77</v>
      </c>
      <c r="I72" s="270">
        <v>0</v>
      </c>
      <c r="J72" s="270">
        <v>0</v>
      </c>
      <c r="K72" s="270">
        <v>0</v>
      </c>
      <c r="L72" s="270">
        <v>0</v>
      </c>
      <c r="M72" s="270">
        <v>0</v>
      </c>
      <c r="N72" s="270">
        <v>0</v>
      </c>
      <c r="O72" s="271">
        <f t="shared" si="2"/>
        <v>653.39</v>
      </c>
      <c r="P72" s="14">
        <f>IFERROR(O72/O4,0)</f>
        <v>3.0899334301628175E-4</v>
      </c>
    </row>
    <row r="73" spans="1:16" ht="13.5" customHeight="1" x14ac:dyDescent="0.35">
      <c r="A73" s="268" t="s">
        <v>103</v>
      </c>
      <c r="B73" s="269" t="s">
        <v>741</v>
      </c>
      <c r="C73" s="270">
        <v>4317.6099999999997</v>
      </c>
      <c r="D73" s="270">
        <v>4346.6899999999996</v>
      </c>
      <c r="E73" s="270">
        <v>661.82</v>
      </c>
      <c r="F73" s="270">
        <v>2464.6</v>
      </c>
      <c r="G73" s="270">
        <v>2531.66</v>
      </c>
      <c r="H73" s="270">
        <v>3483</v>
      </c>
      <c r="I73" s="270">
        <v>3747.76</v>
      </c>
      <c r="J73" s="270">
        <v>5758.52</v>
      </c>
      <c r="K73" s="270">
        <v>3346.95</v>
      </c>
      <c r="L73" s="270">
        <v>4912.5200000000004</v>
      </c>
      <c r="M73" s="270">
        <v>3344.25</v>
      </c>
      <c r="N73" s="270">
        <v>5575.49</v>
      </c>
      <c r="O73" s="271">
        <f t="shared" si="2"/>
        <v>44490.87</v>
      </c>
      <c r="P73" s="14">
        <f>IFERROR(O73/O4,0)</f>
        <v>2.1040087321512115E-2</v>
      </c>
    </row>
    <row r="74" spans="1:16" ht="13.5" customHeight="1" x14ac:dyDescent="0.35">
      <c r="A74" s="268" t="s">
        <v>142</v>
      </c>
      <c r="B74" s="269" t="s">
        <v>141</v>
      </c>
      <c r="C74" s="270">
        <v>0</v>
      </c>
      <c r="D74" s="270">
        <v>0</v>
      </c>
      <c r="E74" s="270">
        <v>0</v>
      </c>
      <c r="F74" s="270">
        <v>0</v>
      </c>
      <c r="G74" s="270">
        <v>11.18</v>
      </c>
      <c r="H74" s="270">
        <v>0</v>
      </c>
      <c r="I74" s="270">
        <v>0</v>
      </c>
      <c r="J74" s="270">
        <v>0</v>
      </c>
      <c r="K74" s="270">
        <v>0</v>
      </c>
      <c r="L74" s="270">
        <v>0</v>
      </c>
      <c r="M74" s="270">
        <v>0</v>
      </c>
      <c r="N74" s="270">
        <v>0</v>
      </c>
      <c r="O74" s="271">
        <f t="shared" si="2"/>
        <v>11.18</v>
      </c>
      <c r="P74" s="14">
        <f>IFERROR(O74/O4,0)</f>
        <v>5.2871111815638897E-6</v>
      </c>
    </row>
    <row r="75" spans="1:16" ht="13.5" customHeight="1" x14ac:dyDescent="0.35">
      <c r="A75" s="268" t="s">
        <v>47</v>
      </c>
      <c r="B75" s="269" t="s">
        <v>46</v>
      </c>
      <c r="C75" s="270">
        <v>1213</v>
      </c>
      <c r="D75" s="270">
        <v>22</v>
      </c>
      <c r="E75" s="270">
        <v>0</v>
      </c>
      <c r="F75" s="270">
        <v>78.36</v>
      </c>
      <c r="G75" s="270">
        <v>402</v>
      </c>
      <c r="H75" s="270">
        <v>200</v>
      </c>
      <c r="I75" s="270">
        <v>24</v>
      </c>
      <c r="J75" s="270">
        <v>0</v>
      </c>
      <c r="K75" s="270">
        <v>1728.1</v>
      </c>
      <c r="L75" s="270">
        <v>0</v>
      </c>
      <c r="M75" s="270">
        <v>0</v>
      </c>
      <c r="N75" s="270">
        <v>0</v>
      </c>
      <c r="O75" s="271">
        <f t="shared" si="2"/>
        <v>3667.46</v>
      </c>
      <c r="P75" s="14">
        <f>IFERROR(O75/O4,0)</f>
        <v>1.7343710889032471E-3</v>
      </c>
    </row>
    <row r="76" spans="1:16" ht="13.5" customHeight="1" x14ac:dyDescent="0.35">
      <c r="A76" s="268" t="s">
        <v>49</v>
      </c>
      <c r="B76" s="269" t="s">
        <v>48</v>
      </c>
      <c r="C76" s="270">
        <v>130</v>
      </c>
      <c r="D76" s="270">
        <v>0</v>
      </c>
      <c r="E76" s="270">
        <v>181.52</v>
      </c>
      <c r="F76" s="270">
        <v>75.599999999999994</v>
      </c>
      <c r="G76" s="270">
        <v>52.14</v>
      </c>
      <c r="H76" s="270">
        <v>0</v>
      </c>
      <c r="I76" s="270">
        <v>137.04</v>
      </c>
      <c r="J76" s="270">
        <v>0</v>
      </c>
      <c r="K76" s="270">
        <v>0</v>
      </c>
      <c r="L76" s="270">
        <v>0</v>
      </c>
      <c r="M76" s="270">
        <v>0</v>
      </c>
      <c r="N76" s="270">
        <v>0</v>
      </c>
      <c r="O76" s="271">
        <f t="shared" si="2"/>
        <v>576.29999999999995</v>
      </c>
      <c r="P76" s="14">
        <f>IFERROR(O76/O4,0)</f>
        <v>2.7253686707828887E-4</v>
      </c>
    </row>
    <row r="77" spans="1:16" ht="13.5" customHeight="1" x14ac:dyDescent="0.35">
      <c r="A77" s="268" t="s">
        <v>144</v>
      </c>
      <c r="B77" s="269" t="s">
        <v>742</v>
      </c>
      <c r="C77" s="270">
        <v>0</v>
      </c>
      <c r="D77" s="270">
        <v>0</v>
      </c>
      <c r="E77" s="270">
        <v>0</v>
      </c>
      <c r="F77" s="270">
        <v>0</v>
      </c>
      <c r="G77" s="270">
        <v>0</v>
      </c>
      <c r="H77" s="270">
        <v>0</v>
      </c>
      <c r="I77" s="270">
        <v>0</v>
      </c>
      <c r="J77" s="270">
        <v>0</v>
      </c>
      <c r="K77" s="270">
        <v>0</v>
      </c>
      <c r="L77" s="270">
        <v>0</v>
      </c>
      <c r="M77" s="270">
        <v>0</v>
      </c>
      <c r="N77" s="270">
        <v>577.85</v>
      </c>
      <c r="O77" s="271">
        <f t="shared" si="2"/>
        <v>577.85</v>
      </c>
      <c r="P77" s="14">
        <f>IFERROR(O77/O4,0)</f>
        <v>2.7326987444245923E-4</v>
      </c>
    </row>
    <row r="78" spans="1:16" ht="13.5" customHeight="1" x14ac:dyDescent="0.35">
      <c r="A78" s="268" t="s">
        <v>146</v>
      </c>
      <c r="B78" s="269" t="s">
        <v>145</v>
      </c>
      <c r="C78" s="270">
        <v>0</v>
      </c>
      <c r="D78" s="270">
        <v>0</v>
      </c>
      <c r="E78" s="270">
        <v>0</v>
      </c>
      <c r="F78" s="270">
        <v>0</v>
      </c>
      <c r="G78" s="270">
        <v>0</v>
      </c>
      <c r="H78" s="270">
        <v>2192.44</v>
      </c>
      <c r="I78" s="270">
        <v>0</v>
      </c>
      <c r="J78" s="270">
        <v>0</v>
      </c>
      <c r="K78" s="270">
        <v>0</v>
      </c>
      <c r="L78" s="270">
        <v>0</v>
      </c>
      <c r="M78" s="270">
        <v>0</v>
      </c>
      <c r="N78" s="270">
        <v>0</v>
      </c>
      <c r="O78" s="271">
        <f t="shared" si="2"/>
        <v>2192.44</v>
      </c>
      <c r="P78" s="14">
        <f>IFERROR(O78/O4,0)</f>
        <v>1.0368223648397079E-3</v>
      </c>
    </row>
    <row r="79" spans="1:16" ht="13.5" customHeight="1" x14ac:dyDescent="0.35">
      <c r="A79" s="268" t="s">
        <v>198</v>
      </c>
      <c r="B79" s="269" t="s">
        <v>743</v>
      </c>
      <c r="C79" s="270">
        <v>7150.54</v>
      </c>
      <c r="D79" s="270">
        <v>2295.87</v>
      </c>
      <c r="E79" s="270">
        <v>7.1</v>
      </c>
      <c r="F79" s="270">
        <v>1021.44</v>
      </c>
      <c r="G79" s="270">
        <v>1080.55</v>
      </c>
      <c r="H79" s="270">
        <v>1416.8</v>
      </c>
      <c r="I79" s="270">
        <v>1973.99</v>
      </c>
      <c r="J79" s="270">
        <v>1217.83</v>
      </c>
      <c r="K79" s="270">
        <v>1318.71</v>
      </c>
      <c r="L79" s="270">
        <v>1451.34</v>
      </c>
      <c r="M79" s="270">
        <v>1179.58</v>
      </c>
      <c r="N79" s="270">
        <v>4724.5600000000004</v>
      </c>
      <c r="O79" s="271">
        <f t="shared" si="2"/>
        <v>24838.31</v>
      </c>
      <c r="P79" s="14">
        <f>IFERROR(O79/O4,0)</f>
        <v>1.1746234931319337E-2</v>
      </c>
    </row>
    <row r="80" spans="1:16" ht="13.5" customHeight="1" x14ac:dyDescent="0.35">
      <c r="A80" s="268" t="s">
        <v>200</v>
      </c>
      <c r="B80" s="269" t="s">
        <v>744</v>
      </c>
      <c r="C80" s="270">
        <v>0</v>
      </c>
      <c r="D80" s="270">
        <v>0</v>
      </c>
      <c r="E80" s="270">
        <v>0.32</v>
      </c>
      <c r="F80" s="270">
        <v>0.7</v>
      </c>
      <c r="G80" s="270">
        <v>1.3</v>
      </c>
      <c r="H80" s="270">
        <v>0.04</v>
      </c>
      <c r="I80" s="270">
        <v>0.02</v>
      </c>
      <c r="J80" s="270">
        <v>8.09</v>
      </c>
      <c r="K80" s="270">
        <v>1.05</v>
      </c>
      <c r="L80" s="270">
        <v>0</v>
      </c>
      <c r="M80" s="270">
        <v>0.93</v>
      </c>
      <c r="N80" s="270">
        <v>0.44</v>
      </c>
      <c r="O80" s="271">
        <f t="shared" si="2"/>
        <v>12.89</v>
      </c>
      <c r="P80" s="14">
        <f>IFERROR(O80/O4,0)</f>
        <v>6.0957838220356483E-6</v>
      </c>
    </row>
    <row r="81" spans="1:16" ht="13.5" customHeight="1" x14ac:dyDescent="0.35">
      <c r="A81" s="268" t="s">
        <v>185</v>
      </c>
      <c r="B81" s="269" t="s">
        <v>184</v>
      </c>
      <c r="C81" s="270">
        <v>1231.26</v>
      </c>
      <c r="D81" s="270">
        <v>1231.26</v>
      </c>
      <c r="E81" s="270">
        <v>0</v>
      </c>
      <c r="F81" s="270">
        <v>0</v>
      </c>
      <c r="G81" s="270">
        <v>0</v>
      </c>
      <c r="H81" s="270">
        <v>0</v>
      </c>
      <c r="I81" s="270">
        <v>0</v>
      </c>
      <c r="J81" s="270">
        <v>0</v>
      </c>
      <c r="K81" s="270">
        <v>0</v>
      </c>
      <c r="L81" s="270">
        <v>0</v>
      </c>
      <c r="M81" s="270">
        <v>0</v>
      </c>
      <c r="N81" s="270">
        <v>0</v>
      </c>
      <c r="O81" s="271">
        <f t="shared" si="2"/>
        <v>2462.52</v>
      </c>
      <c r="P81" s="14">
        <f>IFERROR(O81/O4,0)</f>
        <v>1.1645453512365573E-3</v>
      </c>
    </row>
    <row r="82" spans="1:16" ht="13.5" customHeight="1" x14ac:dyDescent="0.35">
      <c r="A82" s="268" t="s">
        <v>187</v>
      </c>
      <c r="B82" s="269" t="s">
        <v>186</v>
      </c>
      <c r="C82" s="270">
        <v>135.94999999999999</v>
      </c>
      <c r="D82" s="270">
        <v>135.94999999999999</v>
      </c>
      <c r="E82" s="270">
        <v>0</v>
      </c>
      <c r="F82" s="270">
        <v>0</v>
      </c>
      <c r="G82" s="270">
        <v>0</v>
      </c>
      <c r="H82" s="270">
        <v>0</v>
      </c>
      <c r="I82" s="270">
        <v>0</v>
      </c>
      <c r="J82" s="270">
        <v>0</v>
      </c>
      <c r="K82" s="270">
        <v>0</v>
      </c>
      <c r="L82" s="270">
        <v>111.02</v>
      </c>
      <c r="M82" s="270">
        <v>111.02</v>
      </c>
      <c r="N82" s="270">
        <v>111.02</v>
      </c>
      <c r="O82" s="271">
        <f t="shared" si="2"/>
        <v>604.95999999999992</v>
      </c>
      <c r="P82" s="14">
        <f>IFERROR(O82/O4,0)</f>
        <v>2.8609040969578627E-4</v>
      </c>
    </row>
    <row r="83" spans="1:16" ht="13.5" customHeight="1" x14ac:dyDescent="0.35">
      <c r="A83" s="268" t="s">
        <v>189</v>
      </c>
      <c r="B83" s="269" t="s">
        <v>745</v>
      </c>
      <c r="C83" s="270">
        <v>199.89</v>
      </c>
      <c r="D83" s="270">
        <v>199.89</v>
      </c>
      <c r="E83" s="270">
        <v>0</v>
      </c>
      <c r="F83" s="270">
        <v>0</v>
      </c>
      <c r="G83" s="270">
        <v>0</v>
      </c>
      <c r="H83" s="270">
        <v>0</v>
      </c>
      <c r="I83" s="270">
        <v>0</v>
      </c>
      <c r="J83" s="270">
        <v>0</v>
      </c>
      <c r="K83" s="270">
        <v>0</v>
      </c>
      <c r="L83" s="270">
        <v>93.82</v>
      </c>
      <c r="M83" s="270">
        <v>93.82</v>
      </c>
      <c r="N83" s="270">
        <v>93.82</v>
      </c>
      <c r="O83" s="271">
        <f t="shared" si="2"/>
        <v>681.24</v>
      </c>
      <c r="P83" s="14">
        <f>IFERROR(O83/O4,0)</f>
        <v>3.221638301725031E-4</v>
      </c>
    </row>
    <row r="84" spans="1:16" ht="13.5" customHeight="1" x14ac:dyDescent="0.35">
      <c r="A84" s="268" t="s">
        <v>191</v>
      </c>
      <c r="B84" s="269" t="s">
        <v>746</v>
      </c>
      <c r="C84" s="270">
        <v>401.27</v>
      </c>
      <c r="D84" s="270">
        <v>401.27</v>
      </c>
      <c r="E84" s="270">
        <v>0</v>
      </c>
      <c r="F84" s="270">
        <v>0</v>
      </c>
      <c r="G84" s="270">
        <v>0</v>
      </c>
      <c r="H84" s="270">
        <v>0</v>
      </c>
      <c r="I84" s="270">
        <v>0</v>
      </c>
      <c r="J84" s="270">
        <v>0</v>
      </c>
      <c r="K84" s="270">
        <v>26.67</v>
      </c>
      <c r="L84" s="270">
        <v>206.49</v>
      </c>
      <c r="M84" s="270">
        <v>206.49</v>
      </c>
      <c r="N84" s="270">
        <v>206.49</v>
      </c>
      <c r="O84" s="271">
        <f t="shared" si="2"/>
        <v>1448.6799999999998</v>
      </c>
      <c r="P84" s="14">
        <f>IFERROR(O84/O4,0)</f>
        <v>6.8509232795241283E-4</v>
      </c>
    </row>
    <row r="85" spans="1:16" ht="13.5" customHeight="1" x14ac:dyDescent="0.35">
      <c r="A85" s="268" t="s">
        <v>193</v>
      </c>
      <c r="B85" s="269" t="s">
        <v>747</v>
      </c>
      <c r="C85" s="270">
        <v>749</v>
      </c>
      <c r="D85" s="270">
        <v>749</v>
      </c>
      <c r="E85" s="270">
        <v>0</v>
      </c>
      <c r="F85" s="270">
        <v>0</v>
      </c>
      <c r="G85" s="270">
        <v>0</v>
      </c>
      <c r="H85" s="270">
        <v>0</v>
      </c>
      <c r="I85" s="270">
        <v>0</v>
      </c>
      <c r="J85" s="270">
        <v>0</v>
      </c>
      <c r="K85" s="270">
        <v>0</v>
      </c>
      <c r="L85" s="270">
        <v>277.11</v>
      </c>
      <c r="M85" s="270">
        <v>277.11</v>
      </c>
      <c r="N85" s="270">
        <v>277.11</v>
      </c>
      <c r="O85" s="271">
        <f t="shared" si="2"/>
        <v>2329.3300000000004</v>
      </c>
      <c r="P85" s="14">
        <f>IFERROR(O85/O4,0)</f>
        <v>1.1015587377953683E-3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P&amp;L Gerencial</vt:lpstr>
      <vt:lpstr>Dashboard</vt:lpstr>
      <vt:lpstr>Comparativo vs PSTO</vt:lpstr>
      <vt:lpstr>Indicadores Operativos</vt:lpstr>
      <vt:lpstr>Punto de Equilibrio</vt:lpstr>
      <vt:lpstr>Estrategia de Precios</vt:lpstr>
      <vt:lpstr>Simulador</vt:lpstr>
      <vt:lpstr>Datos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</dc:creator>
  <dc:description/>
  <cp:lastModifiedBy>Peru On Ice</cp:lastModifiedBy>
  <cp:revision>19</cp:revision>
  <dcterms:created xsi:type="dcterms:W3CDTF">2026-04-08T19:38:11Z</dcterms:created>
  <dcterms:modified xsi:type="dcterms:W3CDTF">2026-04-10T16:25:21Z</dcterms:modified>
  <dc:language>en-US</dc:language>
</cp:coreProperties>
</file>